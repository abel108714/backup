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 activeTab="1"/>
  </bookViews>
  <sheets>
    <sheet name="第 1 頁" sheetId="1" r:id="rId1"/>
    <sheet name="Sheet1" sheetId="2" r:id="rId2"/>
  </sheets>
  <calcPr calcId="125725"/>
</workbook>
</file>

<file path=xl/calcChain.xml><?xml version="1.0" encoding="utf-8"?>
<calcChain xmlns="http://schemas.openxmlformats.org/spreadsheetml/2006/main">
  <c r="D14" i="2"/>
  <c r="AC15"/>
  <c r="AB15"/>
  <c r="AA15"/>
  <c r="Z15"/>
  <c r="X15"/>
  <c r="J15"/>
  <c r="G15"/>
  <c r="F15"/>
  <c r="E15"/>
  <c r="D15"/>
  <c r="C15"/>
  <c r="B15"/>
  <c r="AC14"/>
  <c r="AB14"/>
  <c r="AA14"/>
  <c r="Z14"/>
  <c r="X14"/>
  <c r="J14"/>
  <c r="C14"/>
  <c r="H14" s="1"/>
  <c r="I14"/>
  <c r="D13"/>
  <c r="C13"/>
  <c r="H13" s="1"/>
  <c r="I13"/>
  <c r="D12"/>
  <c r="C12"/>
  <c r="H12" s="1"/>
  <c r="I12"/>
  <c r="D11"/>
  <c r="C11"/>
  <c r="H11" s="1"/>
  <c r="I11"/>
  <c r="D10"/>
  <c r="AC10"/>
  <c r="AB10"/>
  <c r="AA10"/>
  <c r="Z10"/>
  <c r="X10"/>
  <c r="J10"/>
  <c r="C10"/>
  <c r="H10" s="1"/>
  <c r="I10"/>
  <c r="D9"/>
  <c r="C9"/>
  <c r="H9" s="1"/>
  <c r="I9"/>
  <c r="D8"/>
  <c r="C8"/>
  <c r="H8" s="1"/>
  <c r="I8"/>
  <c r="D7"/>
  <c r="C7"/>
  <c r="H7" s="1"/>
  <c r="I7"/>
  <c r="D6"/>
  <c r="AC6"/>
  <c r="AB6"/>
  <c r="AA6"/>
  <c r="Z6"/>
  <c r="X6"/>
  <c r="J6"/>
  <c r="C6"/>
  <c r="H6" s="1"/>
  <c r="I6"/>
  <c r="D5"/>
  <c r="C5"/>
  <c r="H5" s="1"/>
  <c r="I5"/>
  <c r="D4"/>
  <c r="C4"/>
  <c r="H4" s="1"/>
  <c r="I4"/>
  <c r="D3"/>
  <c r="C3"/>
  <c r="H3" s="1"/>
  <c r="I3"/>
  <c r="G14"/>
  <c r="F14"/>
  <c r="E14"/>
  <c r="B14"/>
  <c r="G10"/>
  <c r="F10"/>
  <c r="E10"/>
  <c r="B10"/>
  <c r="G6"/>
  <c r="F6"/>
  <c r="E6"/>
  <c r="B6"/>
  <c r="G13"/>
  <c r="G12"/>
  <c r="G11"/>
  <c r="G9"/>
  <c r="G8"/>
  <c r="G7"/>
  <c r="G5"/>
  <c r="G4"/>
  <c r="G3"/>
  <c r="F21" i="1"/>
  <c r="E21"/>
  <c r="D21"/>
  <c r="C21"/>
  <c r="F17"/>
  <c r="E17"/>
  <c r="D17"/>
  <c r="D24" s="1"/>
  <c r="C17"/>
  <c r="C24" s="1"/>
  <c r="F10"/>
  <c r="F13"/>
  <c r="F9"/>
  <c r="F7"/>
  <c r="F19"/>
  <c r="F6"/>
  <c r="F8"/>
  <c r="F18"/>
  <c r="F12"/>
  <c r="F5"/>
  <c r="F11"/>
  <c r="F20"/>
</calcChain>
</file>

<file path=xl/sharedStrings.xml><?xml version="1.0" encoding="utf-8"?>
<sst xmlns="http://schemas.openxmlformats.org/spreadsheetml/2006/main" count="97" uniqueCount="70">
  <si>
    <t>業務員</t>
  </si>
  <si>
    <t>李麗娟</t>
  </si>
  <si>
    <t>張玉玲</t>
  </si>
  <si>
    <t>張嘉芬</t>
  </si>
  <si>
    <t>徐春貴</t>
  </si>
  <si>
    <t>李永齊</t>
  </si>
  <si>
    <t>黃三和</t>
  </si>
  <si>
    <t>許巧琪</t>
  </si>
  <si>
    <t>陳永宗</t>
  </si>
  <si>
    <t>陳巧芬</t>
  </si>
  <si>
    <t>黃宥瑄</t>
  </si>
  <si>
    <t>柯世鵬</t>
  </si>
  <si>
    <t>陳騏毅</t>
  </si>
  <si>
    <t>陳安睫</t>
  </si>
  <si>
    <t>駱麗玲</t>
  </si>
  <si>
    <t>秦志雄</t>
  </si>
  <si>
    <t>鄭吉珽</t>
  </si>
  <si>
    <t>林成洲</t>
  </si>
  <si>
    <t>行政</t>
  </si>
  <si>
    <t>網電</t>
  </si>
  <si>
    <t>南區</t>
  </si>
  <si>
    <t>北區</t>
  </si>
  <si>
    <t>外銷</t>
  </si>
  <si>
    <t>流通</t>
  </si>
  <si>
    <t>中區</t>
  </si>
  <si>
    <t>部門</t>
  </si>
  <si>
    <t>當日業績</t>
  </si>
  <si>
    <t>總累計績效</t>
  </si>
  <si>
    <t>目標</t>
  </si>
  <si>
    <t>(仟元)</t>
  </si>
  <si>
    <t>達成率</t>
  </si>
  <si>
    <t>責任者</t>
    <phoneticPr fontId="4" type="noConversion"/>
  </si>
  <si>
    <t>開發</t>
  </si>
  <si>
    <t>小計：</t>
  </si>
  <si>
    <t>網通</t>
  </si>
  <si>
    <t>連鎖+北區</t>
  </si>
  <si>
    <t>今日績效</t>
  </si>
  <si>
    <t>每日目標</t>
  </si>
  <si>
    <t>當日達成比</t>
  </si>
  <si>
    <t>09月銷貨淨額</t>
  </si>
  <si>
    <t>09月目標</t>
  </si>
  <si>
    <t>累計達成比</t>
  </si>
  <si>
    <t>累積每日進度指標</t>
  </si>
  <si>
    <t>本月尚需努力的數字</t>
  </si>
  <si>
    <t>750B</t>
  </si>
  <si>
    <t>760B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</si>
  <si>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</si>
  <si>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</si>
  <si>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</si>
  <si>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</si>
  <si>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</si>
  <si>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</si>
  <si>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</si>
  <si>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</si>
  <si>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</si>
  <si>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</si>
  <si>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</si>
  <si>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</si>
  <si>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</si>
  <si>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</si>
  <si>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</si>
  <si>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</si>
  <si>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協助小天使</t>
  </si>
  <si>
    <t>備註</t>
  </si>
  <si>
    <t>昕卉</t>
  </si>
  <si>
    <t>佳容</t>
  </si>
  <si>
    <t>嘉芬</t>
  </si>
  <si>
    <t>實體通路</t>
  </si>
  <si>
    <t>製表日期:</t>
  </si>
  <si>
    <t>2020/09/01-2020/09/25</t>
  </si>
</sst>
</file>

<file path=xl/styles.xml><?xml version="1.0" encoding="utf-8"?>
<styleSheet xmlns="http://schemas.openxmlformats.org/spreadsheetml/2006/main">
  <numFmts count="3">
    <numFmt numFmtId="180" formatCode="##,##0_ ;\-##,##0\ "/>
    <numFmt numFmtId="181" formatCode="#,##0_ ;[Red]\-#,##0\ "/>
    <numFmt numFmtId="183" formatCode="#,##0;[Red]#,##0"/>
  </numFmts>
  <fonts count="13">
    <font>
      <sz val="10"/>
      <name val="Arial"/>
    </font>
    <font>
      <sz val="10"/>
      <name val="SimSun"/>
      <charset val="134"/>
    </font>
    <font>
      <sz val="12"/>
      <name val="SimSun"/>
      <charset val="134"/>
    </font>
    <font>
      <sz val="12"/>
      <name val="新細明體"/>
      <family val="1"/>
      <charset val="136"/>
      <scheme val="minor"/>
    </font>
    <font>
      <sz val="9"/>
      <name val="細明體"/>
      <family val="3"/>
      <charset val="136"/>
    </font>
    <font>
      <b/>
      <sz val="16"/>
      <color rgb="FF7030A0"/>
      <name val="SimSun"/>
      <charset val="134"/>
    </font>
    <font>
      <sz val="14"/>
      <name val="SimSun"/>
      <charset val="134"/>
    </font>
    <font>
      <b/>
      <sz val="12"/>
      <color rgb="FFFF0000"/>
      <name val="SimSun"/>
      <charset val="134"/>
    </font>
    <font>
      <b/>
      <sz val="10"/>
      <color rgb="FFFF0000"/>
      <name val="SimSun"/>
      <charset val="134"/>
    </font>
    <font>
      <b/>
      <sz val="10"/>
      <color rgb="FFFF0000"/>
      <name val="Arial"/>
      <family val="2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80" fontId="2" fillId="0" borderId="0" xfId="0" applyNumberFormat="1" applyFont="1" applyBorder="1" applyAlignment="1">
      <alignment horizontal="right" vertical="center"/>
    </xf>
    <xf numFmtId="0" fontId="1" fillId="0" borderId="0" xfId="0" applyFont="1" applyAlignment="1">
      <alignment horizontal="center"/>
    </xf>
    <xf numFmtId="0" fontId="2" fillId="0" borderId="0" xfId="0" applyFont="1" applyBorder="1" applyAlignment="1">
      <alignment horizontal="center" vertical="center"/>
    </xf>
    <xf numFmtId="10" fontId="2" fillId="0" borderId="0" xfId="0" applyNumberFormat="1" applyFont="1"/>
    <xf numFmtId="0" fontId="1" fillId="0" borderId="0" xfId="0" applyFont="1" applyBorder="1" applyAlignment="1">
      <alignment horizontal="center"/>
    </xf>
    <xf numFmtId="0" fontId="1" fillId="0" borderId="0" xfId="0" applyFont="1" applyBorder="1"/>
    <xf numFmtId="0" fontId="7" fillId="0" borderId="0" xfId="0" applyFont="1" applyAlignment="1">
      <alignment horizontal="center"/>
    </xf>
    <xf numFmtId="0" fontId="7" fillId="0" borderId="0" xfId="0" applyFont="1" applyBorder="1" applyAlignment="1">
      <alignment horizontal="center" vertical="center"/>
    </xf>
    <xf numFmtId="180" fontId="7" fillId="0" borderId="0" xfId="0" applyNumberFormat="1" applyFont="1" applyBorder="1" applyAlignment="1">
      <alignment horizontal="right" vertical="center"/>
    </xf>
    <xf numFmtId="0" fontId="7" fillId="0" borderId="0" xfId="0" applyFont="1"/>
    <xf numFmtId="10" fontId="7" fillId="0" borderId="0" xfId="0" applyNumberFormat="1" applyFont="1"/>
    <xf numFmtId="0" fontId="8" fillId="0" borderId="0" xfId="0" applyFont="1"/>
    <xf numFmtId="0" fontId="9" fillId="0" borderId="0" xfId="0" applyFont="1"/>
    <xf numFmtId="0" fontId="10" fillId="0" borderId="2" xfId="0" applyFont="1" applyBorder="1" applyAlignment="1">
      <alignment horizontal="center" vertical="center"/>
    </xf>
    <xf numFmtId="180" fontId="10" fillId="0" borderId="2" xfId="0" applyNumberFormat="1" applyFont="1" applyBorder="1" applyAlignment="1">
      <alignment horizontal="right" vertical="center"/>
    </xf>
    <xf numFmtId="180" fontId="10" fillId="2" borderId="2" xfId="0" applyNumberFormat="1" applyFont="1" applyFill="1" applyBorder="1" applyAlignment="1">
      <alignment horizontal="right" vertical="center"/>
    </xf>
    <xf numFmtId="10" fontId="10" fillId="0" borderId="2" xfId="0" applyNumberFormat="1" applyFont="1" applyBorder="1" applyAlignment="1">
      <alignment horizontal="right" vertical="center"/>
    </xf>
    <xf numFmtId="10" fontId="10" fillId="2" borderId="2" xfId="0" applyNumberFormat="1" applyFont="1" applyFill="1" applyBorder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0" borderId="1" xfId="0" applyFont="1" applyBorder="1" applyAlignment="1">
      <alignment vertical="center"/>
    </xf>
    <xf numFmtId="0" fontId="10" fillId="0" borderId="0" xfId="0" applyNumberFormat="1" applyFont="1" applyAlignment="1">
      <alignment vertical="center"/>
    </xf>
    <xf numFmtId="0" fontId="10" fillId="0" borderId="2" xfId="0" applyFont="1" applyBorder="1" applyAlignment="1">
      <alignment vertical="center"/>
    </xf>
    <xf numFmtId="0" fontId="10" fillId="0" borderId="2" xfId="0" applyNumberFormat="1" applyFont="1" applyBorder="1" applyAlignment="1">
      <alignment vertical="center"/>
    </xf>
    <xf numFmtId="10" fontId="10" fillId="0" borderId="2" xfId="0" applyNumberFormat="1" applyFont="1" applyBorder="1" applyAlignment="1">
      <alignment vertical="center"/>
    </xf>
    <xf numFmtId="180" fontId="10" fillId="0" borderId="2" xfId="0" applyNumberFormat="1" applyFont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10" fontId="10" fillId="2" borderId="2" xfId="0" applyNumberFormat="1" applyFont="1" applyFill="1" applyBorder="1" applyAlignment="1">
      <alignment vertical="center"/>
    </xf>
    <xf numFmtId="180" fontId="10" fillId="2" borderId="2" xfId="0" applyNumberFormat="1" applyFont="1" applyFill="1" applyBorder="1" applyAlignment="1">
      <alignment vertical="center"/>
    </xf>
    <xf numFmtId="0" fontId="10" fillId="2" borderId="2" xfId="0" applyNumberFormat="1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10" fillId="3" borderId="2" xfId="0" applyFont="1" applyFill="1" applyBorder="1" applyAlignment="1">
      <alignment vertical="center"/>
    </xf>
    <xf numFmtId="180" fontId="10" fillId="3" borderId="2" xfId="0" applyNumberFormat="1" applyFont="1" applyFill="1" applyBorder="1" applyAlignment="1">
      <alignment vertical="center"/>
    </xf>
    <xf numFmtId="10" fontId="10" fillId="3" borderId="2" xfId="0" applyNumberFormat="1" applyFont="1" applyFill="1" applyBorder="1" applyAlignment="1">
      <alignment vertical="center"/>
    </xf>
    <xf numFmtId="0" fontId="10" fillId="3" borderId="2" xfId="0" applyNumberFormat="1" applyFont="1" applyFill="1" applyBorder="1" applyAlignment="1">
      <alignment vertical="center"/>
    </xf>
    <xf numFmtId="0" fontId="10" fillId="3" borderId="0" xfId="0" applyFont="1" applyFill="1" applyAlignment="1">
      <alignment vertical="center"/>
    </xf>
    <xf numFmtId="183" fontId="10" fillId="0" borderId="2" xfId="0" applyNumberFormat="1" applyFont="1" applyBorder="1" applyAlignment="1">
      <alignment vertical="center"/>
    </xf>
    <xf numFmtId="183" fontId="10" fillId="2" borderId="2" xfId="0" applyNumberFormat="1" applyFont="1" applyFill="1" applyBorder="1" applyAlignment="1">
      <alignment vertical="center"/>
    </xf>
    <xf numFmtId="183" fontId="10" fillId="3" borderId="2" xfId="0" applyNumberFormat="1" applyFont="1" applyFill="1" applyBorder="1" applyAlignment="1">
      <alignment vertical="center"/>
    </xf>
    <xf numFmtId="181" fontId="11" fillId="0" borderId="2" xfId="0" applyNumberFormat="1" applyFont="1" applyBorder="1" applyAlignment="1">
      <alignment horizontal="center" vertical="center"/>
    </xf>
    <xf numFmtId="0" fontId="10" fillId="0" borderId="2" xfId="0" applyNumberFormat="1" applyFont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2" xfId="0" applyFont="1" applyBorder="1" applyAlignment="1">
      <alignment horizontal="left" vertical="center"/>
    </xf>
    <xf numFmtId="0" fontId="10" fillId="2" borderId="2" xfId="0" applyFont="1" applyFill="1" applyBorder="1" applyAlignment="1">
      <alignment horizontal="left" vertical="center"/>
    </xf>
    <xf numFmtId="0" fontId="10" fillId="3" borderId="2" xfId="0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14" fontId="10" fillId="0" borderId="0" xfId="0" applyNumberFormat="1" applyFont="1" applyAlignment="1">
      <alignment horizontal="left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L25"/>
  <sheetViews>
    <sheetView workbookViewId="0">
      <selection activeCell="A21" sqref="A21:XFD21"/>
    </sheetView>
  </sheetViews>
  <sheetFormatPr defaultColWidth="9.140625" defaultRowHeight="14.25"/>
  <cols>
    <col min="1" max="1" width="8.7109375" style="3" customWidth="1"/>
    <col min="2" max="2" width="8.7109375" style="13" customWidth="1"/>
    <col min="3" max="6" width="16.7109375" style="1" customWidth="1"/>
    <col min="7" max="16384" width="9.140625" style="1"/>
  </cols>
  <sheetData>
    <row r="1" spans="1:12" ht="15">
      <c r="H1"/>
      <c r="I1"/>
      <c r="J1"/>
      <c r="K1"/>
      <c r="L1"/>
    </row>
    <row r="2" spans="1:12" ht="15">
      <c r="H2"/>
      <c r="I2"/>
      <c r="J2"/>
      <c r="K2"/>
      <c r="L2"/>
    </row>
    <row r="3" spans="1:12" ht="20.25">
      <c r="A3" s="8">
        <v>20200925</v>
      </c>
      <c r="B3" s="9"/>
      <c r="C3" s="6" t="s">
        <v>26</v>
      </c>
      <c r="D3" s="6" t="s">
        <v>27</v>
      </c>
      <c r="E3" s="5" t="s">
        <v>28</v>
      </c>
      <c r="F3" s="4" t="s">
        <v>30</v>
      </c>
      <c r="H3"/>
      <c r="I3"/>
      <c r="J3"/>
      <c r="K3"/>
      <c r="L3"/>
    </row>
    <row r="4" spans="1:12" ht="18.75">
      <c r="A4" s="10" t="s">
        <v>25</v>
      </c>
      <c r="B4" s="11" t="s">
        <v>31</v>
      </c>
      <c r="C4" s="6"/>
      <c r="D4" s="6"/>
      <c r="E4" s="5" t="s">
        <v>29</v>
      </c>
      <c r="F4" s="4"/>
      <c r="H4"/>
      <c r="I4"/>
      <c r="J4"/>
      <c r="K4"/>
      <c r="L4"/>
    </row>
    <row r="5" spans="1:12" ht="15">
      <c r="A5" s="3" t="s">
        <v>21</v>
      </c>
      <c r="B5" s="14" t="s">
        <v>5</v>
      </c>
      <c r="C5" s="12">
        <v>110604</v>
      </c>
      <c r="D5" s="12">
        <v>1005812</v>
      </c>
      <c r="E5" s="2">
        <v>1100</v>
      </c>
      <c r="F5" s="15">
        <f>ROUND(D5/E5/10,2)%</f>
        <v>0.91439999999999999</v>
      </c>
      <c r="H5"/>
      <c r="I5"/>
      <c r="J5"/>
      <c r="K5"/>
      <c r="L5"/>
    </row>
    <row r="6" spans="1:12" ht="15">
      <c r="A6" s="3" t="s">
        <v>21</v>
      </c>
      <c r="B6" s="14" t="s">
        <v>11</v>
      </c>
      <c r="C6" s="12">
        <v>292858</v>
      </c>
      <c r="D6" s="12">
        <v>1238875</v>
      </c>
      <c r="E6" s="2">
        <v>1400</v>
      </c>
      <c r="F6" s="15">
        <f>ROUND(D6/E6/10,2)%</f>
        <v>0.88489999999999991</v>
      </c>
      <c r="H6"/>
      <c r="I6"/>
      <c r="J6"/>
      <c r="K6"/>
      <c r="L6"/>
    </row>
    <row r="7" spans="1:12" ht="15">
      <c r="A7" s="3" t="s">
        <v>21</v>
      </c>
      <c r="B7" s="14" t="s">
        <v>13</v>
      </c>
      <c r="C7" s="12">
        <v>11052</v>
      </c>
      <c r="D7" s="12">
        <v>693090</v>
      </c>
      <c r="E7" s="2">
        <v>800</v>
      </c>
      <c r="F7" s="15">
        <f>ROUND(D7/E7/10,2)%</f>
        <v>0.86640000000000006</v>
      </c>
      <c r="H7"/>
      <c r="I7"/>
      <c r="J7"/>
      <c r="K7"/>
      <c r="L7"/>
    </row>
    <row r="8" spans="1:12" ht="15">
      <c r="A8" s="3" t="s">
        <v>24</v>
      </c>
      <c r="B8" s="14" t="s">
        <v>9</v>
      </c>
      <c r="C8" s="12">
        <v>52456</v>
      </c>
      <c r="D8" s="12">
        <v>1194886</v>
      </c>
      <c r="E8" s="2">
        <v>1100</v>
      </c>
      <c r="F8" s="15">
        <f>ROUND(D8/E8/10,2)%</f>
        <v>1.0863</v>
      </c>
      <c r="H8"/>
      <c r="I8"/>
      <c r="J8"/>
      <c r="K8"/>
      <c r="L8"/>
    </row>
    <row r="9" spans="1:12" ht="15">
      <c r="A9" s="3" t="s">
        <v>24</v>
      </c>
      <c r="B9" s="14" t="s">
        <v>14</v>
      </c>
      <c r="C9" s="12">
        <v>27689</v>
      </c>
      <c r="D9" s="12">
        <v>512829</v>
      </c>
      <c r="E9" s="2">
        <v>800</v>
      </c>
      <c r="F9" s="15">
        <f>ROUND(D9/E9/10,2)%</f>
        <v>0.6409999999999999</v>
      </c>
      <c r="H9"/>
      <c r="I9"/>
      <c r="J9"/>
      <c r="K9"/>
      <c r="L9"/>
    </row>
    <row r="10" spans="1:12" ht="15">
      <c r="A10" s="3" t="s">
        <v>24</v>
      </c>
      <c r="B10" s="14" t="s">
        <v>17</v>
      </c>
      <c r="C10" s="12">
        <v>0</v>
      </c>
      <c r="D10" s="12">
        <v>19066</v>
      </c>
      <c r="E10" s="2">
        <v>300</v>
      </c>
      <c r="F10" s="15">
        <f>ROUND(D10/E10/10,2)%</f>
        <v>6.3600000000000004E-2</v>
      </c>
      <c r="H10"/>
      <c r="I10"/>
      <c r="J10"/>
      <c r="K10"/>
      <c r="L10"/>
    </row>
    <row r="11" spans="1:12" ht="15">
      <c r="A11" s="3" t="s">
        <v>20</v>
      </c>
      <c r="B11" s="14" t="s">
        <v>3</v>
      </c>
      <c r="C11" s="12">
        <v>25673</v>
      </c>
      <c r="D11" s="12">
        <v>293833</v>
      </c>
      <c r="E11" s="2">
        <v>250</v>
      </c>
      <c r="F11" s="15">
        <f>ROUND(D11/E11/10,2)%</f>
        <v>1.1753</v>
      </c>
      <c r="H11"/>
      <c r="I11"/>
      <c r="J11"/>
      <c r="K11"/>
      <c r="L11"/>
    </row>
    <row r="12" spans="1:12" ht="15">
      <c r="A12" s="3" t="s">
        <v>20</v>
      </c>
      <c r="B12" s="14" t="s">
        <v>6</v>
      </c>
      <c r="C12" s="12">
        <v>61540</v>
      </c>
      <c r="D12" s="12">
        <v>1000637</v>
      </c>
      <c r="E12" s="2">
        <v>1100</v>
      </c>
      <c r="F12" s="15">
        <f>ROUND(D12/E12/10,2)%</f>
        <v>0.90969999999999995</v>
      </c>
      <c r="H12"/>
      <c r="I12"/>
      <c r="J12"/>
      <c r="K12"/>
      <c r="L12"/>
    </row>
    <row r="13" spans="1:12" ht="15">
      <c r="A13" s="3" t="s">
        <v>20</v>
      </c>
      <c r="B13" s="14" t="s">
        <v>16</v>
      </c>
      <c r="C13" s="12">
        <v>2933</v>
      </c>
      <c r="D13" s="12">
        <v>174850</v>
      </c>
      <c r="E13" s="2">
        <v>300</v>
      </c>
      <c r="F13" s="15">
        <f>ROUND(D13/E13/10,2)%</f>
        <v>0.58279999999999998</v>
      </c>
      <c r="H13"/>
      <c r="I13"/>
      <c r="J13"/>
      <c r="K13"/>
      <c r="L13"/>
    </row>
    <row r="14" spans="1:12" ht="15">
      <c r="A14" s="3" t="s">
        <v>22</v>
      </c>
      <c r="B14" s="14" t="s">
        <v>7</v>
      </c>
      <c r="C14" s="12">
        <v>0</v>
      </c>
      <c r="D14" s="12">
        <v>43115</v>
      </c>
      <c r="E14" s="2">
        <v>0</v>
      </c>
      <c r="F14" s="15">
        <v>0</v>
      </c>
      <c r="H14"/>
      <c r="I14"/>
      <c r="J14"/>
      <c r="K14"/>
      <c r="L14"/>
    </row>
    <row r="15" spans="1:12" ht="15">
      <c r="A15" s="3" t="s">
        <v>22</v>
      </c>
      <c r="B15" s="14" t="s">
        <v>10</v>
      </c>
      <c r="C15" s="12">
        <v>0</v>
      </c>
      <c r="D15" s="12">
        <v>626224</v>
      </c>
      <c r="E15" s="2">
        <v>0</v>
      </c>
      <c r="F15" s="15">
        <v>0</v>
      </c>
      <c r="H15"/>
      <c r="I15"/>
      <c r="J15"/>
      <c r="K15"/>
      <c r="L15"/>
    </row>
    <row r="16" spans="1:12" ht="15">
      <c r="A16" s="3" t="s">
        <v>22</v>
      </c>
      <c r="B16" s="14" t="s">
        <v>15</v>
      </c>
      <c r="C16" s="12">
        <v>0</v>
      </c>
      <c r="D16" s="12">
        <v>85794</v>
      </c>
      <c r="E16" s="2">
        <v>0</v>
      </c>
      <c r="F16" s="15">
        <v>0</v>
      </c>
      <c r="H16"/>
      <c r="I16"/>
      <c r="J16"/>
      <c r="K16"/>
      <c r="L16"/>
    </row>
    <row r="17" spans="1:12" s="23" customFormat="1" ht="15">
      <c r="A17" s="18" t="s">
        <v>32</v>
      </c>
      <c r="B17" s="19" t="s">
        <v>33</v>
      </c>
      <c r="C17" s="20">
        <f>SUM(C5:C16)</f>
        <v>584805</v>
      </c>
      <c r="D17" s="20">
        <f>SUM(D5:D16)</f>
        <v>6889011</v>
      </c>
      <c r="E17" s="21">
        <f>SUM(E5:E16)</f>
        <v>7150</v>
      </c>
      <c r="F17" s="22">
        <f>ROUND(D17/E17/10,2)%</f>
        <v>0.96349999999999991</v>
      </c>
      <c r="H17" s="24"/>
      <c r="I17" s="24"/>
      <c r="J17" s="24"/>
      <c r="K17" s="24"/>
      <c r="L17" s="24"/>
    </row>
    <row r="18" spans="1:12" ht="15">
      <c r="A18" s="3" t="s">
        <v>23</v>
      </c>
      <c r="B18" s="14" t="s">
        <v>8</v>
      </c>
      <c r="C18" s="12">
        <v>70656</v>
      </c>
      <c r="D18" s="12">
        <v>1072307</v>
      </c>
      <c r="E18" s="2">
        <v>2300</v>
      </c>
      <c r="F18" s="15">
        <f>ROUND(D18/E18/10,2)%</f>
        <v>0.46619999999999995</v>
      </c>
      <c r="H18"/>
      <c r="I18"/>
      <c r="J18"/>
      <c r="K18"/>
      <c r="L18"/>
    </row>
    <row r="19" spans="1:12" ht="15">
      <c r="A19" s="3" t="s">
        <v>23</v>
      </c>
      <c r="B19" s="14" t="s">
        <v>12</v>
      </c>
      <c r="C19" s="12">
        <v>10069</v>
      </c>
      <c r="D19" s="12">
        <v>976313</v>
      </c>
      <c r="E19" s="2">
        <v>700</v>
      </c>
      <c r="F19" s="15">
        <f>ROUND(D19/E19/10,2)%</f>
        <v>1.3947000000000001</v>
      </c>
      <c r="H19"/>
      <c r="I19"/>
      <c r="J19"/>
      <c r="K19"/>
      <c r="L19"/>
    </row>
    <row r="20" spans="1:12" ht="15">
      <c r="A20" s="3" t="s">
        <v>19</v>
      </c>
      <c r="B20" s="14" t="s">
        <v>2</v>
      </c>
      <c r="C20" s="12">
        <v>22934</v>
      </c>
      <c r="D20" s="12">
        <v>1354666</v>
      </c>
      <c r="E20" s="2">
        <v>4000</v>
      </c>
      <c r="F20" s="15">
        <f>ROUND(D20/E20/10,2)%</f>
        <v>0.3387</v>
      </c>
      <c r="H20"/>
      <c r="I20"/>
      <c r="J20"/>
      <c r="K20"/>
      <c r="L20"/>
    </row>
    <row r="21" spans="1:12" s="23" customFormat="1" ht="15">
      <c r="A21" s="18" t="s">
        <v>34</v>
      </c>
      <c r="B21" s="19" t="s">
        <v>33</v>
      </c>
      <c r="C21" s="20">
        <f>SUM(C18:C20)</f>
        <v>103659</v>
      </c>
      <c r="D21" s="20">
        <f>SUM(D18:D20)</f>
        <v>3403286</v>
      </c>
      <c r="E21" s="21">
        <f>SUM(E18:E20)</f>
        <v>7000</v>
      </c>
      <c r="F21" s="22">
        <f>ROUND(D21/E21/10,2)%</f>
        <v>0.48619999999999997</v>
      </c>
      <c r="H21" s="24"/>
      <c r="I21" s="24"/>
      <c r="J21" s="24"/>
      <c r="K21" s="24"/>
      <c r="L21" s="24"/>
    </row>
    <row r="22" spans="1:12" ht="15">
      <c r="A22" s="3" t="s">
        <v>18</v>
      </c>
      <c r="B22" s="14" t="s">
        <v>1</v>
      </c>
      <c r="C22" s="12">
        <v>5146</v>
      </c>
      <c r="D22" s="12">
        <v>187131</v>
      </c>
      <c r="E22" s="2">
        <v>0</v>
      </c>
      <c r="F22" s="15">
        <v>0</v>
      </c>
      <c r="H22"/>
      <c r="I22"/>
      <c r="J22"/>
      <c r="K22"/>
      <c r="L22"/>
    </row>
    <row r="23" spans="1:12" ht="15">
      <c r="A23" s="3" t="s">
        <v>18</v>
      </c>
      <c r="B23" s="14" t="s">
        <v>4</v>
      </c>
      <c r="C23" s="12">
        <v>189410</v>
      </c>
      <c r="D23" s="12">
        <v>1004318</v>
      </c>
      <c r="E23" s="2">
        <v>0</v>
      </c>
      <c r="F23" s="15">
        <v>0</v>
      </c>
      <c r="H23"/>
      <c r="I23"/>
      <c r="J23"/>
      <c r="K23"/>
      <c r="L23"/>
    </row>
    <row r="24" spans="1:12" ht="15">
      <c r="B24" s="14"/>
      <c r="C24" s="12">
        <f>SUM(C5:C23)</f>
        <v>1571484</v>
      </c>
      <c r="D24" s="12">
        <f>SUM(D5:D23)</f>
        <v>21776043</v>
      </c>
      <c r="H24"/>
      <c r="I24"/>
      <c r="J24"/>
      <c r="K24"/>
      <c r="L24"/>
    </row>
    <row r="25" spans="1:12">
      <c r="B25" s="16"/>
      <c r="C25" s="17"/>
      <c r="D25" s="7"/>
    </row>
  </sheetData>
  <sortState ref="A5:F21">
    <sortCondition ref="A5"/>
  </sortState>
  <mergeCells count="4">
    <mergeCell ref="A3:B3"/>
    <mergeCell ref="C3:C4"/>
    <mergeCell ref="D3:D4"/>
    <mergeCell ref="F3:F4"/>
  </mergeCells>
  <phoneticPr fontId="4" type="noConversion"/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F15"/>
  <sheetViews>
    <sheetView tabSelected="1" zoomScale="85" zoomScaleNormal="85" workbookViewId="0">
      <pane xSplit="1" topLeftCell="B1" activePane="topRight" state="frozenSplit"/>
      <selection pane="topRight" activeCell="A17" sqref="A17:XFD17"/>
    </sheetView>
  </sheetViews>
  <sheetFormatPr defaultColWidth="10.28515625" defaultRowHeight="30" customHeight="1"/>
  <cols>
    <col min="1" max="1" width="21.42578125" style="53" customWidth="1"/>
    <col min="2" max="2" width="25.28515625" style="31" customWidth="1"/>
    <col min="3" max="3" width="23" style="31" customWidth="1"/>
    <col min="4" max="4" width="26" style="31" customWidth="1"/>
    <col min="5" max="5" width="29.42578125" style="31" customWidth="1"/>
    <col min="6" max="6" width="32.28515625" style="31" customWidth="1"/>
    <col min="7" max="7" width="25" style="31" customWidth="1"/>
    <col min="8" max="8" width="36.5703125" style="31" hidden="1" customWidth="1"/>
    <col min="9" max="9" width="42.28515625" style="31" hidden="1" customWidth="1"/>
    <col min="10" max="10" width="16.28515625" style="31" customWidth="1"/>
    <col min="11" max="11" width="13" style="33" hidden="1" customWidth="1"/>
    <col min="12" max="12" width="13.85546875" style="33" hidden="1" customWidth="1"/>
    <col min="13" max="16" width="13" style="33" hidden="1" customWidth="1"/>
    <col min="17" max="17" width="15" style="33" hidden="1" customWidth="1"/>
    <col min="18" max="18" width="13" style="33" hidden="1" customWidth="1"/>
    <col min="19" max="23" width="13" style="31" hidden="1" customWidth="1"/>
    <col min="24" max="24" width="9.42578125" style="31" customWidth="1"/>
    <col min="25" max="25" width="21.5703125" style="31" hidden="1" customWidth="1"/>
    <col min="26" max="26" width="16.5703125" style="31" customWidth="1"/>
    <col min="27" max="27" width="30.85546875" style="31" customWidth="1"/>
    <col min="28" max="28" width="11.85546875" style="31" customWidth="1"/>
    <col min="29" max="30" width="14" style="31" hidden="1" customWidth="1"/>
    <col min="31" max="31" width="24.7109375" style="31" customWidth="1"/>
    <col min="32" max="32" width="23.140625" style="31" customWidth="1"/>
    <col min="33" max="16384" width="10.28515625" style="31"/>
  </cols>
  <sheetData>
    <row r="1" spans="1:32" ht="30" customHeight="1">
      <c r="A1" s="57" t="s">
        <v>68</v>
      </c>
      <c r="B1" s="58">
        <v>44099</v>
      </c>
      <c r="F1" s="32" t="s">
        <v>69</v>
      </c>
      <c r="G1" s="32"/>
    </row>
    <row r="2" spans="1:32" s="30" customFormat="1" ht="30" customHeight="1">
      <c r="A2" s="54" t="s">
        <v>0</v>
      </c>
      <c r="B2" s="25" t="s">
        <v>36</v>
      </c>
      <c r="C2" s="25" t="s">
        <v>37</v>
      </c>
      <c r="D2" s="25" t="s">
        <v>38</v>
      </c>
      <c r="E2" s="25" t="s">
        <v>39</v>
      </c>
      <c r="F2" s="25" t="s">
        <v>40</v>
      </c>
      <c r="G2" s="25" t="s">
        <v>41</v>
      </c>
      <c r="H2" s="25" t="s">
        <v>42</v>
      </c>
      <c r="I2" s="51" t="s">
        <v>43</v>
      </c>
      <c r="J2" s="25" t="s">
        <v>44</v>
      </c>
      <c r="K2" s="52" t="s">
        <v>45</v>
      </c>
      <c r="L2" s="52" t="s">
        <v>46</v>
      </c>
      <c r="M2" s="52" t="s">
        <v>47</v>
      </c>
      <c r="N2" s="52" t="s">
        <v>48</v>
      </c>
      <c r="O2" s="52" t="s">
        <v>49</v>
      </c>
      <c r="P2" s="52" t="s">
        <v>50</v>
      </c>
      <c r="Q2" s="52" t="s">
        <v>51</v>
      </c>
      <c r="R2" s="52" t="s">
        <v>52</v>
      </c>
      <c r="S2" s="25" t="s">
        <v>53</v>
      </c>
      <c r="T2" s="25" t="s">
        <v>54</v>
      </c>
      <c r="U2" s="25" t="s">
        <v>55</v>
      </c>
      <c r="V2" s="25" t="s">
        <v>47</v>
      </c>
      <c r="W2" s="25" t="s">
        <v>56</v>
      </c>
      <c r="X2" s="25" t="s">
        <v>57</v>
      </c>
      <c r="Y2" s="25" t="s">
        <v>58</v>
      </c>
      <c r="Z2" s="25" t="s">
        <v>59</v>
      </c>
      <c r="AA2" s="25" t="s">
        <v>60</v>
      </c>
      <c r="AB2" s="25" t="s">
        <v>61</v>
      </c>
      <c r="AC2" s="25">
        <v>6055</v>
      </c>
      <c r="AD2" s="25" t="s">
        <v>45</v>
      </c>
      <c r="AE2" s="25" t="s">
        <v>62</v>
      </c>
      <c r="AF2" s="25" t="s">
        <v>63</v>
      </c>
    </row>
    <row r="3" spans="1:32" ht="30" customHeight="1">
      <c r="A3" s="54" t="s">
        <v>5</v>
      </c>
      <c r="B3" s="26">
        <v>110604</v>
      </c>
      <c r="C3" s="26">
        <f>F3/22</f>
        <v>50000</v>
      </c>
      <c r="D3" s="28">
        <f>B3/C3</f>
        <v>2.2120799999999998</v>
      </c>
      <c r="E3" s="26">
        <v>1005812</v>
      </c>
      <c r="F3" s="48">
        <v>1100000</v>
      </c>
      <c r="G3" s="36">
        <f xml:space="preserve"> E3/F3</f>
        <v>0.91437454545454544</v>
      </c>
      <c r="H3" s="34">
        <f>E3-C3*2</f>
        <v>905812</v>
      </c>
      <c r="I3" s="37">
        <f>E3-F3</f>
        <v>-94188</v>
      </c>
      <c r="J3" s="34">
        <v>0</v>
      </c>
      <c r="K3" s="35"/>
      <c r="L3" s="35"/>
      <c r="M3" s="35"/>
      <c r="N3" s="35"/>
      <c r="O3" s="35"/>
      <c r="P3" s="35"/>
      <c r="Q3" s="35"/>
      <c r="R3" s="35"/>
      <c r="S3" s="34"/>
      <c r="T3" s="34"/>
      <c r="U3" s="34"/>
      <c r="V3" s="34"/>
      <c r="W3" s="34"/>
      <c r="X3" s="34">
        <v>0</v>
      </c>
      <c r="Y3" s="34"/>
      <c r="Z3" s="34">
        <v>0</v>
      </c>
      <c r="AA3" s="34">
        <v>3</v>
      </c>
      <c r="AB3" s="34">
        <v>9</v>
      </c>
      <c r="AC3" s="34">
        <v>0</v>
      </c>
      <c r="AD3" s="34"/>
      <c r="AE3" s="34" t="s">
        <v>64</v>
      </c>
      <c r="AF3" s="34"/>
    </row>
    <row r="4" spans="1:32" ht="30" customHeight="1">
      <c r="A4" s="54" t="s">
        <v>11</v>
      </c>
      <c r="B4" s="26">
        <v>292858</v>
      </c>
      <c r="C4" s="26">
        <f>F4/22</f>
        <v>63636.36363636364</v>
      </c>
      <c r="D4" s="28">
        <f>B4/C4</f>
        <v>4.6020542857142859</v>
      </c>
      <c r="E4" s="26">
        <v>1238875</v>
      </c>
      <c r="F4" s="48">
        <v>1400000</v>
      </c>
      <c r="G4" s="36">
        <f xml:space="preserve"> E4/F4</f>
        <v>0.88491071428571433</v>
      </c>
      <c r="H4" s="34">
        <f>E4-C4*2</f>
        <v>1111602.2727272727</v>
      </c>
      <c r="I4" s="37">
        <f>E4-F4</f>
        <v>-161125</v>
      </c>
      <c r="J4" s="34">
        <v>6</v>
      </c>
      <c r="K4" s="35"/>
      <c r="L4" s="35"/>
      <c r="M4" s="35"/>
      <c r="N4" s="35"/>
      <c r="O4" s="35"/>
      <c r="P4" s="35"/>
      <c r="Q4" s="35"/>
      <c r="R4" s="35"/>
      <c r="S4" s="34"/>
      <c r="T4" s="34"/>
      <c r="U4" s="34"/>
      <c r="V4" s="34"/>
      <c r="W4" s="34"/>
      <c r="X4" s="34">
        <v>2</v>
      </c>
      <c r="Y4" s="34"/>
      <c r="Z4" s="34">
        <v>2</v>
      </c>
      <c r="AA4" s="34">
        <v>2</v>
      </c>
      <c r="AB4" s="34">
        <v>2</v>
      </c>
      <c r="AC4" s="34">
        <v>2</v>
      </c>
      <c r="AD4" s="34"/>
      <c r="AE4" s="34" t="s">
        <v>65</v>
      </c>
      <c r="AF4" s="34"/>
    </row>
    <row r="5" spans="1:32" ht="30" customHeight="1">
      <c r="A5" s="54" t="s">
        <v>13</v>
      </c>
      <c r="B5" s="26">
        <v>11052</v>
      </c>
      <c r="C5" s="26">
        <f>F5/22</f>
        <v>36363.63636363636</v>
      </c>
      <c r="D5" s="28">
        <f>B5/C5</f>
        <v>0.30393000000000003</v>
      </c>
      <c r="E5" s="26">
        <v>693090</v>
      </c>
      <c r="F5" s="48">
        <v>800000</v>
      </c>
      <c r="G5" s="36">
        <f xml:space="preserve"> E5/F5</f>
        <v>0.86636250000000004</v>
      </c>
      <c r="H5" s="34">
        <f>E5-C5*2</f>
        <v>620362.72727272729</v>
      </c>
      <c r="I5" s="37">
        <f>E5-F5</f>
        <v>-106910</v>
      </c>
      <c r="J5" s="34">
        <v>0</v>
      </c>
      <c r="K5" s="35"/>
      <c r="L5" s="35"/>
      <c r="M5" s="35"/>
      <c r="N5" s="35"/>
      <c r="O5" s="35"/>
      <c r="P5" s="35"/>
      <c r="Q5" s="35"/>
      <c r="R5" s="35"/>
      <c r="S5" s="34"/>
      <c r="T5" s="34"/>
      <c r="U5" s="34"/>
      <c r="V5" s="34"/>
      <c r="W5" s="34"/>
      <c r="X5" s="34">
        <v>0</v>
      </c>
      <c r="Y5" s="34"/>
      <c r="Z5" s="34">
        <v>0</v>
      </c>
      <c r="AA5" s="34">
        <v>0</v>
      </c>
      <c r="AB5" s="34">
        <v>1</v>
      </c>
      <c r="AC5" s="34">
        <v>0</v>
      </c>
      <c r="AD5" s="34"/>
      <c r="AE5" s="34" t="s">
        <v>64</v>
      </c>
      <c r="AF5" s="34"/>
    </row>
    <row r="6" spans="1:32" s="42" customFormat="1" ht="30" customHeight="1">
      <c r="A6" s="55" t="s">
        <v>35</v>
      </c>
      <c r="B6" s="27">
        <f>SUM(B3:B5)</f>
        <v>414514</v>
      </c>
      <c r="C6" s="27">
        <f>SUM(C3:C5)</f>
        <v>150000</v>
      </c>
      <c r="D6" s="29">
        <f>B6/C6</f>
        <v>2.7634266666666667</v>
      </c>
      <c r="E6" s="27">
        <f>SUM(E3:E5)</f>
        <v>2937777</v>
      </c>
      <c r="F6" s="49">
        <f>SUM(F3:F5)</f>
        <v>3300000</v>
      </c>
      <c r="G6" s="39">
        <f xml:space="preserve"> E6/F6</f>
        <v>0.8902354545454545</v>
      </c>
      <c r="H6" s="38">
        <f>E6-C6*2</f>
        <v>2637777</v>
      </c>
      <c r="I6" s="40">
        <f>E6-F6</f>
        <v>-362223</v>
      </c>
      <c r="J6" s="38">
        <f>SUM(J3:J5)</f>
        <v>6</v>
      </c>
      <c r="K6" s="41"/>
      <c r="L6" s="41"/>
      <c r="M6" s="41"/>
      <c r="N6" s="41"/>
      <c r="O6" s="41"/>
      <c r="P6" s="41"/>
      <c r="Q6" s="41"/>
      <c r="R6" s="41"/>
      <c r="S6" s="38"/>
      <c r="T6" s="38"/>
      <c r="U6" s="38"/>
      <c r="V6" s="38"/>
      <c r="W6" s="38"/>
      <c r="X6" s="38">
        <f>SUM(X3:X5)</f>
        <v>2</v>
      </c>
      <c r="Y6" s="38"/>
      <c r="Z6" s="38">
        <f>SUM(Z3:Z5)</f>
        <v>2</v>
      </c>
      <c r="AA6" s="38">
        <f>SUM(AA3:AA5)</f>
        <v>5</v>
      </c>
      <c r="AB6" s="38">
        <f>SUM(AB3:AB5)</f>
        <v>12</v>
      </c>
      <c r="AC6" s="38">
        <f>SUM(AC3:AC5)</f>
        <v>2</v>
      </c>
      <c r="AD6" s="38"/>
      <c r="AE6" s="38"/>
      <c r="AF6" s="38"/>
    </row>
    <row r="7" spans="1:32" ht="30" customHeight="1">
      <c r="A7" s="54" t="s">
        <v>9</v>
      </c>
      <c r="B7" s="26">
        <v>52456</v>
      </c>
      <c r="C7" s="26">
        <f>F7/22</f>
        <v>50000</v>
      </c>
      <c r="D7" s="28">
        <f>B7/C7</f>
        <v>1.0491200000000001</v>
      </c>
      <c r="E7" s="26">
        <v>1194886</v>
      </c>
      <c r="F7" s="48">
        <v>1100000</v>
      </c>
      <c r="G7" s="36">
        <f xml:space="preserve"> E7/F7</f>
        <v>1.08626</v>
      </c>
      <c r="H7" s="34">
        <f>E7-C7*2</f>
        <v>1094886</v>
      </c>
      <c r="I7" s="37">
        <f>E7-F7</f>
        <v>94886</v>
      </c>
      <c r="J7" s="34">
        <v>0</v>
      </c>
      <c r="K7" s="35"/>
      <c r="L7" s="35"/>
      <c r="M7" s="35"/>
      <c r="N7" s="35"/>
      <c r="O7" s="35"/>
      <c r="P7" s="35"/>
      <c r="Q7" s="35"/>
      <c r="R7" s="35"/>
      <c r="S7" s="34"/>
      <c r="T7" s="34"/>
      <c r="U7" s="34"/>
      <c r="V7" s="34"/>
      <c r="W7" s="34"/>
      <c r="X7" s="34">
        <v>0</v>
      </c>
      <c r="Y7" s="34"/>
      <c r="Z7" s="34">
        <v>0</v>
      </c>
      <c r="AA7" s="34">
        <v>0</v>
      </c>
      <c r="AB7" s="34">
        <v>3</v>
      </c>
      <c r="AC7" s="34">
        <v>0</v>
      </c>
      <c r="AD7" s="34"/>
      <c r="AE7" s="34" t="s">
        <v>65</v>
      </c>
      <c r="AF7" s="34"/>
    </row>
    <row r="8" spans="1:32" ht="30" customHeight="1">
      <c r="A8" s="54" t="s">
        <v>14</v>
      </c>
      <c r="B8" s="26">
        <v>27689</v>
      </c>
      <c r="C8" s="26">
        <f>F8/22</f>
        <v>36363.63636363636</v>
      </c>
      <c r="D8" s="28">
        <f>B8/C8</f>
        <v>0.76144750000000005</v>
      </c>
      <c r="E8" s="26">
        <v>512829</v>
      </c>
      <c r="F8" s="48">
        <v>800000</v>
      </c>
      <c r="G8" s="36">
        <f xml:space="preserve"> E8/F8</f>
        <v>0.64103624999999997</v>
      </c>
      <c r="H8" s="34">
        <f>E8-C8*2</f>
        <v>440101.72727272729</v>
      </c>
      <c r="I8" s="37">
        <f>E8-F8</f>
        <v>-287171</v>
      </c>
      <c r="J8" s="34">
        <v>0</v>
      </c>
      <c r="K8" s="35"/>
      <c r="L8" s="35"/>
      <c r="M8" s="35"/>
      <c r="N8" s="35"/>
      <c r="O8" s="35"/>
      <c r="P8" s="35"/>
      <c r="Q8" s="35"/>
      <c r="R8" s="35"/>
      <c r="S8" s="34"/>
      <c r="T8" s="34"/>
      <c r="U8" s="34"/>
      <c r="V8" s="34"/>
      <c r="W8" s="34"/>
      <c r="X8" s="34">
        <v>0</v>
      </c>
      <c r="Y8" s="34"/>
      <c r="Z8" s="34">
        <v>0</v>
      </c>
      <c r="AA8" s="34">
        <v>0</v>
      </c>
      <c r="AB8" s="34">
        <v>0</v>
      </c>
      <c r="AC8" s="34">
        <v>0</v>
      </c>
      <c r="AD8" s="34"/>
      <c r="AE8" s="34" t="s">
        <v>65</v>
      </c>
      <c r="AF8" s="34"/>
    </row>
    <row r="9" spans="1:32" ht="30" customHeight="1">
      <c r="A9" s="54" t="s">
        <v>17</v>
      </c>
      <c r="B9" s="26">
        <v>0</v>
      </c>
      <c r="C9" s="26">
        <f>F9/22</f>
        <v>13636.363636363636</v>
      </c>
      <c r="D9" s="28">
        <f>B9/C9</f>
        <v>0</v>
      </c>
      <c r="E9" s="26">
        <v>19066</v>
      </c>
      <c r="F9" s="48">
        <v>300000</v>
      </c>
      <c r="G9" s="36">
        <f xml:space="preserve"> E9/F9</f>
        <v>6.3553333333333337E-2</v>
      </c>
      <c r="H9" s="34">
        <f>E9-C9*2</f>
        <v>-8206.7272727272721</v>
      </c>
      <c r="I9" s="37">
        <f>E9-F9</f>
        <v>-280934</v>
      </c>
      <c r="J9" s="34">
        <v>0</v>
      </c>
      <c r="K9" s="35"/>
      <c r="L9" s="35"/>
      <c r="M9" s="35"/>
      <c r="N9" s="35"/>
      <c r="O9" s="35"/>
      <c r="P9" s="35"/>
      <c r="Q9" s="35"/>
      <c r="R9" s="35"/>
      <c r="S9" s="34"/>
      <c r="T9" s="34"/>
      <c r="U9" s="34"/>
      <c r="V9" s="34"/>
      <c r="W9" s="34"/>
      <c r="X9" s="34">
        <v>0</v>
      </c>
      <c r="Y9" s="34"/>
      <c r="Z9" s="34">
        <v>0</v>
      </c>
      <c r="AA9" s="34">
        <v>0</v>
      </c>
      <c r="AB9" s="34">
        <v>0</v>
      </c>
      <c r="AC9" s="34">
        <v>0</v>
      </c>
      <c r="AD9" s="34"/>
      <c r="AE9" s="34"/>
      <c r="AF9" s="34"/>
    </row>
    <row r="10" spans="1:32" s="42" customFormat="1" ht="30" customHeight="1">
      <c r="A10" s="55" t="s">
        <v>24</v>
      </c>
      <c r="B10" s="27">
        <f>SUM(B7:B9)</f>
        <v>80145</v>
      </c>
      <c r="C10" s="27">
        <f>SUM(C7:C9)</f>
        <v>99999.999999999985</v>
      </c>
      <c r="D10" s="29">
        <f>B10/C10</f>
        <v>0.80145000000000011</v>
      </c>
      <c r="E10" s="27">
        <f>SUM(E7:E9)</f>
        <v>1726781</v>
      </c>
      <c r="F10" s="49">
        <f>SUM(F7:F9)</f>
        <v>2200000</v>
      </c>
      <c r="G10" s="39">
        <f xml:space="preserve"> E10/F10</f>
        <v>0.78490045454545454</v>
      </c>
      <c r="H10" s="38">
        <f>E10-C10*2</f>
        <v>1526781</v>
      </c>
      <c r="I10" s="40">
        <f>E10-F10</f>
        <v>-473219</v>
      </c>
      <c r="J10" s="38">
        <f>SUM(J7:J9)</f>
        <v>0</v>
      </c>
      <c r="K10" s="41"/>
      <c r="L10" s="41"/>
      <c r="M10" s="41"/>
      <c r="N10" s="41"/>
      <c r="O10" s="41"/>
      <c r="P10" s="41"/>
      <c r="Q10" s="41"/>
      <c r="R10" s="41"/>
      <c r="S10" s="38"/>
      <c r="T10" s="38"/>
      <c r="U10" s="38"/>
      <c r="V10" s="38"/>
      <c r="W10" s="38"/>
      <c r="X10" s="38">
        <f>SUM(X7:X9)</f>
        <v>0</v>
      </c>
      <c r="Y10" s="38"/>
      <c r="Z10" s="38">
        <f>SUM(Z7:Z9)</f>
        <v>0</v>
      </c>
      <c r="AA10" s="38">
        <f>SUM(AA7:AA9)</f>
        <v>0</v>
      </c>
      <c r="AB10" s="38">
        <f>SUM(AB7:AB9)</f>
        <v>3</v>
      </c>
      <c r="AC10" s="38">
        <f>SUM(AC7:AC9)</f>
        <v>0</v>
      </c>
      <c r="AD10" s="38"/>
      <c r="AE10" s="38"/>
      <c r="AF10" s="38"/>
    </row>
    <row r="11" spans="1:32" ht="30" customHeight="1">
      <c r="A11" s="54" t="s">
        <v>3</v>
      </c>
      <c r="B11" s="26">
        <v>25673</v>
      </c>
      <c r="C11" s="26">
        <f>F11/22</f>
        <v>11363.636363636364</v>
      </c>
      <c r="D11" s="28">
        <f>B11/C11</f>
        <v>2.2592240000000001</v>
      </c>
      <c r="E11" s="26">
        <v>293833</v>
      </c>
      <c r="F11" s="48">
        <v>250000</v>
      </c>
      <c r="G11" s="36">
        <f xml:space="preserve"> E11/F11</f>
        <v>1.175332</v>
      </c>
      <c r="H11" s="34">
        <f>E11-C11*2</f>
        <v>271105.72727272729</v>
      </c>
      <c r="I11" s="37">
        <f>E11-F11</f>
        <v>43833</v>
      </c>
      <c r="J11" s="34">
        <v>0</v>
      </c>
      <c r="K11" s="35"/>
      <c r="L11" s="35"/>
      <c r="M11" s="35"/>
      <c r="N11" s="35"/>
      <c r="O11" s="35"/>
      <c r="P11" s="35"/>
      <c r="Q11" s="35"/>
      <c r="R11" s="35"/>
      <c r="S11" s="34"/>
      <c r="T11" s="34"/>
      <c r="U11" s="34"/>
      <c r="V11" s="34"/>
      <c r="W11" s="34"/>
      <c r="X11" s="34">
        <v>0</v>
      </c>
      <c r="Y11" s="34"/>
      <c r="Z11" s="34">
        <v>0</v>
      </c>
      <c r="AA11" s="34">
        <v>0</v>
      </c>
      <c r="AB11" s="34">
        <v>1</v>
      </c>
      <c r="AC11" s="34">
        <v>0</v>
      </c>
      <c r="AD11" s="34"/>
      <c r="AE11" s="34"/>
      <c r="AF11" s="34"/>
    </row>
    <row r="12" spans="1:32" ht="30" customHeight="1">
      <c r="A12" s="54" t="s">
        <v>6</v>
      </c>
      <c r="B12" s="26">
        <v>61540</v>
      </c>
      <c r="C12" s="26">
        <f>F12/22</f>
        <v>50000</v>
      </c>
      <c r="D12" s="28">
        <f>B12/C12</f>
        <v>1.2307999999999999</v>
      </c>
      <c r="E12" s="26">
        <v>1000637</v>
      </c>
      <c r="F12" s="48">
        <v>1100000</v>
      </c>
      <c r="G12" s="36">
        <f xml:space="preserve"> E12/F12</f>
        <v>0.90966999999999998</v>
      </c>
      <c r="H12" s="34">
        <f>E12-C12*2</f>
        <v>900637</v>
      </c>
      <c r="I12" s="37">
        <f>E12-F12</f>
        <v>-99363</v>
      </c>
      <c r="J12" s="34">
        <v>2</v>
      </c>
      <c r="K12" s="35"/>
      <c r="L12" s="35"/>
      <c r="M12" s="35"/>
      <c r="N12" s="35"/>
      <c r="O12" s="35"/>
      <c r="P12" s="35"/>
      <c r="Q12" s="35"/>
      <c r="R12" s="35"/>
      <c r="S12" s="34"/>
      <c r="T12" s="34"/>
      <c r="U12" s="34"/>
      <c r="V12" s="34"/>
      <c r="W12" s="34"/>
      <c r="X12" s="34">
        <v>2</v>
      </c>
      <c r="Y12" s="34"/>
      <c r="Z12" s="34">
        <v>2</v>
      </c>
      <c r="AA12" s="34">
        <v>2</v>
      </c>
      <c r="AB12" s="34">
        <v>9</v>
      </c>
      <c r="AC12" s="34">
        <v>2</v>
      </c>
      <c r="AD12" s="34"/>
      <c r="AE12" s="34" t="s">
        <v>66</v>
      </c>
      <c r="AF12" s="34"/>
    </row>
    <row r="13" spans="1:32" ht="30" customHeight="1">
      <c r="A13" s="54" t="s">
        <v>16</v>
      </c>
      <c r="B13" s="26">
        <v>2933</v>
      </c>
      <c r="C13" s="26">
        <f>F13/22</f>
        <v>13636.363636363636</v>
      </c>
      <c r="D13" s="28">
        <f>B13/C13</f>
        <v>0.21508666666666668</v>
      </c>
      <c r="E13" s="26">
        <v>174850</v>
      </c>
      <c r="F13" s="48">
        <v>300000</v>
      </c>
      <c r="G13" s="36">
        <f xml:space="preserve"> E13/F13</f>
        <v>0.58283333333333331</v>
      </c>
      <c r="H13" s="34">
        <f>E13-C13*2</f>
        <v>147577.27272727274</v>
      </c>
      <c r="I13" s="37">
        <f>E13-F13</f>
        <v>-125150</v>
      </c>
      <c r="J13" s="34">
        <v>0</v>
      </c>
      <c r="K13" s="35"/>
      <c r="L13" s="35"/>
      <c r="M13" s="35"/>
      <c r="N13" s="35"/>
      <c r="O13" s="35"/>
      <c r="P13" s="35"/>
      <c r="Q13" s="35"/>
      <c r="R13" s="35"/>
      <c r="S13" s="34"/>
      <c r="T13" s="34"/>
      <c r="U13" s="34"/>
      <c r="V13" s="34"/>
      <c r="W13" s="34"/>
      <c r="X13" s="34">
        <v>0</v>
      </c>
      <c r="Y13" s="34"/>
      <c r="Z13" s="34">
        <v>0</v>
      </c>
      <c r="AA13" s="34">
        <v>0</v>
      </c>
      <c r="AB13" s="34">
        <v>3</v>
      </c>
      <c r="AC13" s="34">
        <v>0</v>
      </c>
      <c r="AD13" s="34"/>
      <c r="AE13" s="34"/>
      <c r="AF13" s="34"/>
    </row>
    <row r="14" spans="1:32" s="42" customFormat="1" ht="30" customHeight="1">
      <c r="A14" s="55" t="s">
        <v>20</v>
      </c>
      <c r="B14" s="27">
        <f>SUM(B11:B13)</f>
        <v>90146</v>
      </c>
      <c r="C14" s="27">
        <f>SUM(C11:C13)</f>
        <v>75000</v>
      </c>
      <c r="D14" s="29">
        <f>B14/C14</f>
        <v>1.2019466666666667</v>
      </c>
      <c r="E14" s="27">
        <f>SUM(E11:E13)</f>
        <v>1469320</v>
      </c>
      <c r="F14" s="49">
        <f>SUM(F11:F13)</f>
        <v>1650000</v>
      </c>
      <c r="G14" s="39">
        <f xml:space="preserve"> E14/F14</f>
        <v>0.89049696969696968</v>
      </c>
      <c r="H14" s="38">
        <f>E14-C14*2</f>
        <v>1319320</v>
      </c>
      <c r="I14" s="40">
        <f>E14-F14</f>
        <v>-180680</v>
      </c>
      <c r="J14" s="38">
        <f>SUM(J11:J13)</f>
        <v>2</v>
      </c>
      <c r="K14" s="41"/>
      <c r="L14" s="41"/>
      <c r="M14" s="41"/>
      <c r="N14" s="41"/>
      <c r="O14" s="41"/>
      <c r="P14" s="41"/>
      <c r="Q14" s="41"/>
      <c r="R14" s="41"/>
      <c r="S14" s="38"/>
      <c r="T14" s="38"/>
      <c r="U14" s="38"/>
      <c r="V14" s="38"/>
      <c r="W14" s="38"/>
      <c r="X14" s="38">
        <f>SUM(X11:X13)</f>
        <v>2</v>
      </c>
      <c r="Y14" s="38"/>
      <c r="Z14" s="38">
        <f>SUM(Z11:Z13)</f>
        <v>2</v>
      </c>
      <c r="AA14" s="38">
        <f>SUM(AA11:AA13)</f>
        <v>2</v>
      </c>
      <c r="AB14" s="38">
        <f>SUM(AB11:AB13)</f>
        <v>13</v>
      </c>
      <c r="AC14" s="38">
        <f>SUM(AC11:AC13)</f>
        <v>2</v>
      </c>
      <c r="AD14" s="38"/>
      <c r="AE14" s="38"/>
      <c r="AF14" s="38"/>
    </row>
    <row r="15" spans="1:32" s="47" customFormat="1" ht="30" customHeight="1">
      <c r="A15" s="56" t="s">
        <v>67</v>
      </c>
      <c r="B15" s="44">
        <f>B6+B10+B14</f>
        <v>584805</v>
      </c>
      <c r="C15" s="44">
        <f>C6+C10+C14</f>
        <v>325000</v>
      </c>
      <c r="D15" s="45">
        <f>B6/C6</f>
        <v>2.7634266666666667</v>
      </c>
      <c r="E15" s="44">
        <f>E6+E10+E14</f>
        <v>6133878</v>
      </c>
      <c r="F15" s="50">
        <f>F6+F10+F14</f>
        <v>7150000</v>
      </c>
      <c r="G15" s="45">
        <f>G14/G14</f>
        <v>1</v>
      </c>
      <c r="H15" s="43"/>
      <c r="I15" s="43"/>
      <c r="J15" s="43">
        <f>J6+J10+J14</f>
        <v>8</v>
      </c>
      <c r="K15" s="46"/>
      <c r="L15" s="46"/>
      <c r="M15" s="46"/>
      <c r="N15" s="46"/>
      <c r="O15" s="46"/>
      <c r="P15" s="46"/>
      <c r="Q15" s="46"/>
      <c r="R15" s="46"/>
      <c r="S15" s="43"/>
      <c r="T15" s="43"/>
      <c r="U15" s="43"/>
      <c r="V15" s="43"/>
      <c r="W15" s="43"/>
      <c r="X15" s="43">
        <f>X6+X10+X14</f>
        <v>4</v>
      </c>
      <c r="Y15" s="43"/>
      <c r="Z15" s="43">
        <f>Z6+Z10+Z14</f>
        <v>4</v>
      </c>
      <c r="AA15" s="43">
        <f>AA6+AA10+AA14</f>
        <v>7</v>
      </c>
      <c r="AB15" s="43">
        <f>AB6+AB10+AB14</f>
        <v>28</v>
      </c>
      <c r="AC15" s="43">
        <f>AC6+AC10+AC14</f>
        <v>4</v>
      </c>
      <c r="AD15" s="43"/>
      <c r="AE15" s="43"/>
      <c r="AF15" s="43"/>
    </row>
  </sheetData>
  <mergeCells count="1">
    <mergeCell ref="F1:G1"/>
  </mergeCells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第 1 頁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2020-09-25T08:36:21Z</dcterms:created>
  <dcterms:modified xsi:type="dcterms:W3CDTF">2020-09-25T08:36:22Z</dcterms:modified>
</cp:coreProperties>
</file>