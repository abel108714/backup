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4" i="2"/>
  <c r="AB14"/>
  <c r="AA14"/>
  <c r="Z14"/>
  <c r="X14"/>
  <c r="J14"/>
  <c r="C14"/>
  <c r="D12"/>
  <c r="C12"/>
  <c r="H12" s="1"/>
  <c r="I12"/>
  <c r="C11"/>
  <c r="H11" s="1"/>
  <c r="I11"/>
  <c r="D13"/>
  <c r="C13"/>
  <c r="H13" s="1"/>
  <c r="I13"/>
  <c r="AC10"/>
  <c r="AB10"/>
  <c r="AB15" s="1"/>
  <c r="AA10"/>
  <c r="Z10"/>
  <c r="Z15" s="1"/>
  <c r="X10"/>
  <c r="J10"/>
  <c r="J15" s="1"/>
  <c r="D9"/>
  <c r="C9"/>
  <c r="I9"/>
  <c r="H9"/>
  <c r="D8"/>
  <c r="C8"/>
  <c r="I8"/>
  <c r="H8"/>
  <c r="D7"/>
  <c r="C7"/>
  <c r="H7" s="1"/>
  <c r="I7"/>
  <c r="AC6"/>
  <c r="AC15" s="1"/>
  <c r="AB6"/>
  <c r="AA6"/>
  <c r="AA15" s="1"/>
  <c r="Z6"/>
  <c r="X6"/>
  <c r="X15" s="1"/>
  <c r="J6"/>
  <c r="D5"/>
  <c r="C5"/>
  <c r="H5" s="1"/>
  <c r="I5"/>
  <c r="C3"/>
  <c r="H3" s="1"/>
  <c r="I3"/>
  <c r="D4"/>
  <c r="C4"/>
  <c r="I4"/>
  <c r="H4"/>
  <c r="F14"/>
  <c r="E14"/>
  <c r="I14" s="1"/>
  <c r="B14"/>
  <c r="F10"/>
  <c r="E10"/>
  <c r="I10" s="1"/>
  <c r="B10"/>
  <c r="F6"/>
  <c r="E6"/>
  <c r="I6" s="1"/>
  <c r="B6"/>
  <c r="G12"/>
  <c r="G11"/>
  <c r="G13"/>
  <c r="G9"/>
  <c r="G8"/>
  <c r="G7"/>
  <c r="G5"/>
  <c r="G3"/>
  <c r="G4"/>
  <c r="H14" l="1"/>
  <c r="D14"/>
  <c r="F15"/>
  <c r="D11"/>
  <c r="C10"/>
  <c r="D10" s="1"/>
  <c r="B15"/>
  <c r="E15"/>
  <c r="C6"/>
  <c r="D3"/>
  <c r="G6"/>
  <c r="G10"/>
  <c r="G14"/>
  <c r="G15" s="1"/>
  <c r="H10" l="1"/>
  <c r="H6"/>
  <c r="C15"/>
  <c r="D15"/>
  <c r="D6"/>
</calcChain>
</file>

<file path=xl/sharedStrings.xml><?xml version="1.0" encoding="utf-8"?>
<sst xmlns="http://schemas.openxmlformats.org/spreadsheetml/2006/main" count="52" uniqueCount="47">
  <si>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</si>
  <si>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</si>
  <si>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</si>
  <si>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</si>
  <si>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</si>
  <si>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</si>
  <si>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</si>
  <si>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</si>
  <si>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</si>
  <si>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</si>
  <si>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</si>
  <si>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</si>
  <si>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</si>
  <si>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今日績效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</si>
  <si>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</si>
  <si>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</si>
  <si>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</si>
  <si>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</si>
  <si>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</si>
  <si>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</si>
  <si>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</si>
  <si>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</si>
  <si>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</si>
  <si>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</si>
  <si>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</si>
  <si>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</si>
  <si>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</si>
  <si>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</si>
  <si>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</si>
  <si>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</si>
  <si>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</si>
  <si>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</si>
  <si>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</si>
  <si>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</si>
  <si>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</si>
  <si>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</si>
  <si>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</si>
  <si>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</si>
  <si>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</si>
  <si>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</si>
  <si>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</si>
  <si>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</si>
  <si>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</si>
  <si>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</si>
  <si>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</si>
  <si>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</si>
  <si>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2020/10/01-2020/10/19</t>
  </si>
</sst>
</file>

<file path=xl/styles.xml><?xml version="1.0" encoding="utf-8"?>
<styleSheet xmlns="http://schemas.openxmlformats.org/spreadsheetml/2006/main">
  <numFmts count="3">
    <numFmt numFmtId="176" formatCode="##,##0_ ;\-##,##0\ "/>
    <numFmt numFmtId="177" formatCode="#,##0_ ;[Red]\-#,##0\ "/>
    <numFmt numFmtId="179" formatCode="#,##0;[Red]#,##0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2" xfId="0" applyFont="1" applyBorder="1" applyAlignment="1">
      <alignment horizontal="center" vertical="center"/>
    </xf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79" fontId="2" fillId="0" borderId="2" xfId="0" applyNumberFormat="1" applyFont="1" applyBorder="1" applyAlignment="1">
      <alignment vertical="center"/>
    </xf>
    <xf numFmtId="179" fontId="2" fillId="2" borderId="2" xfId="0" applyNumberFormat="1" applyFont="1" applyFill="1" applyBorder="1" applyAlignment="1">
      <alignment vertical="center"/>
    </xf>
    <xf numFmtId="179" fontId="2" fillId="3" borderId="2" xfId="0" applyNumberFormat="1" applyFont="1" applyFill="1" applyBorder="1" applyAlignment="1">
      <alignment vertical="center"/>
    </xf>
    <xf numFmtId="177" fontId="3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9" customWidth="1"/>
    <col min="2" max="2" width="27.85546875" style="7" customWidth="1"/>
    <col min="3" max="3" width="23" style="7" customWidth="1"/>
    <col min="4" max="4" width="26" style="7" customWidth="1"/>
    <col min="5" max="5" width="29.42578125" style="7" customWidth="1"/>
    <col min="6" max="6" width="32.28515625" style="7" customWidth="1"/>
    <col min="7" max="7" width="25" style="7" customWidth="1"/>
    <col min="8" max="8" width="36.5703125" style="7" hidden="1" customWidth="1"/>
    <col min="9" max="9" width="42.28515625" style="7" hidden="1" customWidth="1"/>
    <col min="10" max="10" width="16.28515625" style="7" customWidth="1"/>
    <col min="11" max="11" width="13" style="9" hidden="1" customWidth="1"/>
    <col min="12" max="12" width="13.85546875" style="9" hidden="1" customWidth="1"/>
    <col min="13" max="16" width="13" style="9" hidden="1" customWidth="1"/>
    <col min="17" max="17" width="15" style="9" hidden="1" customWidth="1"/>
    <col min="18" max="18" width="13" style="9" hidden="1" customWidth="1"/>
    <col min="19" max="23" width="13" style="7" hidden="1" customWidth="1"/>
    <col min="24" max="24" width="9.42578125" style="7" customWidth="1"/>
    <col min="25" max="25" width="21.5703125" style="7" hidden="1" customWidth="1"/>
    <col min="26" max="26" width="16.5703125" style="7" customWidth="1"/>
    <col min="27" max="27" width="30.85546875" style="7" customWidth="1"/>
    <col min="28" max="28" width="11.85546875" style="7" customWidth="1"/>
    <col min="29" max="30" width="14" style="7" hidden="1" customWidth="1"/>
    <col min="31" max="31" width="24.7109375" style="7" customWidth="1"/>
    <col min="32" max="32" width="23.140625" style="7" customWidth="1"/>
    <col min="33" max="16384" width="10.28515625" style="7"/>
  </cols>
  <sheetData>
    <row r="1" spans="1:32" ht="30" customHeight="1">
      <c r="A1" s="33" t="s">
        <v>45</v>
      </c>
      <c r="B1" s="34">
        <v>44123</v>
      </c>
      <c r="F1" s="8" t="s">
        <v>46</v>
      </c>
      <c r="G1" s="8"/>
    </row>
    <row r="2" spans="1:32" s="6" customFormat="1" ht="30" customHeight="1">
      <c r="A2" s="30" t="s">
        <v>0</v>
      </c>
      <c r="B2" s="1" t="s">
        <v>13</v>
      </c>
      <c r="C2" s="1" t="s">
        <v>14</v>
      </c>
      <c r="D2" s="1" t="s">
        <v>15</v>
      </c>
      <c r="E2" s="1" t="s">
        <v>16</v>
      </c>
      <c r="F2" s="1" t="s">
        <v>17</v>
      </c>
      <c r="G2" s="1" t="s">
        <v>18</v>
      </c>
      <c r="H2" s="1" t="s">
        <v>19</v>
      </c>
      <c r="I2" s="27" t="s">
        <v>20</v>
      </c>
      <c r="J2" s="1" t="s">
        <v>21</v>
      </c>
      <c r="K2" s="28" t="s">
        <v>22</v>
      </c>
      <c r="L2" s="28" t="s">
        <v>23</v>
      </c>
      <c r="M2" s="28" t="s">
        <v>24</v>
      </c>
      <c r="N2" s="28" t="s">
        <v>25</v>
      </c>
      <c r="O2" s="28" t="s">
        <v>26</v>
      </c>
      <c r="P2" s="28" t="s">
        <v>27</v>
      </c>
      <c r="Q2" s="28" t="s">
        <v>28</v>
      </c>
      <c r="R2" s="28" t="s">
        <v>29</v>
      </c>
      <c r="S2" s="1" t="s">
        <v>30</v>
      </c>
      <c r="T2" s="1" t="s">
        <v>31</v>
      </c>
      <c r="U2" s="1" t="s">
        <v>32</v>
      </c>
      <c r="V2" s="1" t="s">
        <v>24</v>
      </c>
      <c r="W2" s="1" t="s">
        <v>33</v>
      </c>
      <c r="X2" s="1" t="s">
        <v>34</v>
      </c>
      <c r="Y2" s="1" t="s">
        <v>35</v>
      </c>
      <c r="Z2" s="1" t="s">
        <v>36</v>
      </c>
      <c r="AA2" s="1" t="s">
        <v>37</v>
      </c>
      <c r="AB2" s="1" t="s">
        <v>38</v>
      </c>
      <c r="AC2" s="1">
        <v>6055</v>
      </c>
      <c r="AD2" s="1" t="s">
        <v>22</v>
      </c>
      <c r="AE2" s="1" t="s">
        <v>39</v>
      </c>
      <c r="AF2" s="1" t="s">
        <v>40</v>
      </c>
    </row>
    <row r="3" spans="1:32" ht="30" customHeight="1">
      <c r="A3" s="30" t="s">
        <v>5</v>
      </c>
      <c r="B3" s="2">
        <v>28535</v>
      </c>
      <c r="C3" s="2">
        <f>F3/19</f>
        <v>73684.210526315786</v>
      </c>
      <c r="D3" s="4">
        <f>B3/C3</f>
        <v>0.38726071428571429</v>
      </c>
      <c r="E3" s="2">
        <v>527339</v>
      </c>
      <c r="F3" s="24">
        <v>1400000</v>
      </c>
      <c r="G3" s="12">
        <f xml:space="preserve"> E3/F3</f>
        <v>0.3766707142857143</v>
      </c>
      <c r="H3" s="10">
        <f>E3-C3*2</f>
        <v>379970.57894736843</v>
      </c>
      <c r="I3" s="13">
        <f>E3-F3</f>
        <v>-872661</v>
      </c>
      <c r="J3" s="10">
        <v>7</v>
      </c>
      <c r="K3" s="11"/>
      <c r="L3" s="11"/>
      <c r="M3" s="11"/>
      <c r="N3" s="11"/>
      <c r="O3" s="11"/>
      <c r="P3" s="11"/>
      <c r="Q3" s="11"/>
      <c r="R3" s="11"/>
      <c r="S3" s="10"/>
      <c r="T3" s="10"/>
      <c r="U3" s="10"/>
      <c r="V3" s="10"/>
      <c r="W3" s="10"/>
      <c r="X3" s="10">
        <v>0</v>
      </c>
      <c r="Y3" s="10"/>
      <c r="Z3" s="10">
        <v>1</v>
      </c>
      <c r="AA3" s="10">
        <v>0</v>
      </c>
      <c r="AB3" s="10">
        <v>0</v>
      </c>
      <c r="AC3" s="10">
        <v>0</v>
      </c>
      <c r="AD3" s="10"/>
      <c r="AE3" s="10" t="s">
        <v>42</v>
      </c>
      <c r="AF3" s="10"/>
    </row>
    <row r="4" spans="1:32" ht="30" customHeight="1">
      <c r="A4" s="30" t="s">
        <v>2</v>
      </c>
      <c r="B4" s="2">
        <v>28439</v>
      </c>
      <c r="C4" s="2">
        <f>F4/19</f>
        <v>63157.894736842107</v>
      </c>
      <c r="D4" s="4">
        <f>B4/C4</f>
        <v>0.45028416666666665</v>
      </c>
      <c r="E4" s="2">
        <v>318127</v>
      </c>
      <c r="F4" s="24">
        <v>1200000</v>
      </c>
      <c r="G4" s="12">
        <f xml:space="preserve"> E4/F4</f>
        <v>0.26510583333333332</v>
      </c>
      <c r="H4" s="10">
        <f>E4-C4*2</f>
        <v>191811.21052631579</v>
      </c>
      <c r="I4" s="13">
        <f>E4-F4</f>
        <v>-881873</v>
      </c>
      <c r="J4" s="10">
        <v>0</v>
      </c>
      <c r="K4" s="11"/>
      <c r="L4" s="11"/>
      <c r="M4" s="11"/>
      <c r="N4" s="11"/>
      <c r="O4" s="11"/>
      <c r="P4" s="11"/>
      <c r="Q4" s="11"/>
      <c r="R4" s="11"/>
      <c r="S4" s="10"/>
      <c r="T4" s="10"/>
      <c r="U4" s="10"/>
      <c r="V4" s="10"/>
      <c r="W4" s="10"/>
      <c r="X4" s="10">
        <v>0</v>
      </c>
      <c r="Y4" s="10"/>
      <c r="Z4" s="10">
        <v>0</v>
      </c>
      <c r="AA4" s="10">
        <v>6</v>
      </c>
      <c r="AB4" s="10">
        <v>0</v>
      </c>
      <c r="AC4" s="10">
        <v>0</v>
      </c>
      <c r="AD4" s="10"/>
      <c r="AE4" s="10" t="s">
        <v>41</v>
      </c>
      <c r="AF4" s="10"/>
    </row>
    <row r="5" spans="1:32" ht="30" customHeight="1">
      <c r="A5" s="30" t="s">
        <v>6</v>
      </c>
      <c r="B5" s="2">
        <v>25348</v>
      </c>
      <c r="C5" s="2">
        <f>F5/19</f>
        <v>52631.57894736842</v>
      </c>
      <c r="D5" s="4">
        <f>B5/C5</f>
        <v>0.48161199999999998</v>
      </c>
      <c r="E5" s="2">
        <v>368337</v>
      </c>
      <c r="F5" s="24">
        <v>1000000</v>
      </c>
      <c r="G5" s="12">
        <f xml:space="preserve"> E5/F5</f>
        <v>0.36833700000000003</v>
      </c>
      <c r="H5" s="10">
        <f>E5-C5*2</f>
        <v>263073.84210526315</v>
      </c>
      <c r="I5" s="13">
        <f>E5-F5</f>
        <v>-631663</v>
      </c>
      <c r="J5" s="10">
        <v>0</v>
      </c>
      <c r="K5" s="11"/>
      <c r="L5" s="11"/>
      <c r="M5" s="11"/>
      <c r="N5" s="11"/>
      <c r="O5" s="11"/>
      <c r="P5" s="11"/>
      <c r="Q5" s="11"/>
      <c r="R5" s="11"/>
      <c r="S5" s="10"/>
      <c r="T5" s="10"/>
      <c r="U5" s="10"/>
      <c r="V5" s="10"/>
      <c r="W5" s="10"/>
      <c r="X5" s="10">
        <v>0</v>
      </c>
      <c r="Y5" s="10"/>
      <c r="Z5" s="10">
        <v>0</v>
      </c>
      <c r="AA5" s="10">
        <v>0</v>
      </c>
      <c r="AB5" s="10">
        <v>3</v>
      </c>
      <c r="AC5" s="10">
        <v>0</v>
      </c>
      <c r="AD5" s="10"/>
      <c r="AE5" s="10" t="s">
        <v>41</v>
      </c>
      <c r="AF5" s="10"/>
    </row>
    <row r="6" spans="1:32" s="18" customFormat="1" ht="30" customHeight="1">
      <c r="A6" s="31" t="s">
        <v>12</v>
      </c>
      <c r="B6" s="3">
        <f>SUM(B3:B5)</f>
        <v>82322</v>
      </c>
      <c r="C6" s="3">
        <f>SUM(C3:C5)</f>
        <v>189473.68421052632</v>
      </c>
      <c r="D6" s="5">
        <f>B6/C6</f>
        <v>0.43447722222222224</v>
      </c>
      <c r="E6" s="3">
        <f>SUM(E3:E5)</f>
        <v>1213803</v>
      </c>
      <c r="F6" s="25">
        <f>SUM(F3:F5)</f>
        <v>3600000</v>
      </c>
      <c r="G6" s="15">
        <f xml:space="preserve"> E6/F6</f>
        <v>0.33716750000000001</v>
      </c>
      <c r="H6" s="14">
        <f>E6-C6*2</f>
        <v>834855.63157894742</v>
      </c>
      <c r="I6" s="16">
        <f>E6-F6</f>
        <v>-2386197</v>
      </c>
      <c r="J6" s="14">
        <f>SUM(J3:J5)</f>
        <v>7</v>
      </c>
      <c r="K6" s="17"/>
      <c r="L6" s="17"/>
      <c r="M6" s="17"/>
      <c r="N6" s="17"/>
      <c r="O6" s="17"/>
      <c r="P6" s="17"/>
      <c r="Q6" s="17"/>
      <c r="R6" s="17"/>
      <c r="S6" s="14"/>
      <c r="T6" s="14"/>
      <c r="U6" s="14"/>
      <c r="V6" s="14"/>
      <c r="W6" s="14"/>
      <c r="X6" s="14">
        <f>SUM(X3:X5)</f>
        <v>0</v>
      </c>
      <c r="Y6" s="14"/>
      <c r="Z6" s="14">
        <f>SUM(Z3:Z5)</f>
        <v>1</v>
      </c>
      <c r="AA6" s="14">
        <f>SUM(AA3:AA5)</f>
        <v>6</v>
      </c>
      <c r="AB6" s="14">
        <f>SUM(AB3:AB5)</f>
        <v>3</v>
      </c>
      <c r="AC6" s="14">
        <f>SUM(AC3:AC5)</f>
        <v>0</v>
      </c>
      <c r="AD6" s="14"/>
      <c r="AE6" s="14"/>
      <c r="AF6" s="14"/>
    </row>
    <row r="7" spans="1:32" ht="30" customHeight="1">
      <c r="A7" s="30" t="s">
        <v>4</v>
      </c>
      <c r="B7" s="2">
        <v>67661</v>
      </c>
      <c r="C7" s="2">
        <f>F7/19</f>
        <v>63157.894736842107</v>
      </c>
      <c r="D7" s="4">
        <f>B7/C7</f>
        <v>1.0712991666666667</v>
      </c>
      <c r="E7" s="2">
        <v>702208</v>
      </c>
      <c r="F7" s="24">
        <v>1200000</v>
      </c>
      <c r="G7" s="12">
        <f xml:space="preserve"> E7/F7</f>
        <v>0.58517333333333332</v>
      </c>
      <c r="H7" s="10">
        <f>E7-C7*2</f>
        <v>575892.21052631573</v>
      </c>
      <c r="I7" s="13">
        <f>E7-F7</f>
        <v>-497792</v>
      </c>
      <c r="J7" s="10">
        <v>3</v>
      </c>
      <c r="K7" s="11"/>
      <c r="L7" s="11"/>
      <c r="M7" s="11"/>
      <c r="N7" s="11"/>
      <c r="O7" s="11"/>
      <c r="P7" s="11"/>
      <c r="Q7" s="11"/>
      <c r="R7" s="11"/>
      <c r="S7" s="10"/>
      <c r="T7" s="10"/>
      <c r="U7" s="10"/>
      <c r="V7" s="10"/>
      <c r="W7" s="10"/>
      <c r="X7" s="10">
        <v>0</v>
      </c>
      <c r="Y7" s="10"/>
      <c r="Z7" s="10">
        <v>0</v>
      </c>
      <c r="AA7" s="10">
        <v>0</v>
      </c>
      <c r="AB7" s="10">
        <v>2</v>
      </c>
      <c r="AC7" s="10">
        <v>0</v>
      </c>
      <c r="AD7" s="10"/>
      <c r="AE7" s="10" t="s">
        <v>42</v>
      </c>
      <c r="AF7" s="10"/>
    </row>
    <row r="8" spans="1:32" ht="30" customHeight="1">
      <c r="A8" s="30" t="s">
        <v>7</v>
      </c>
      <c r="B8" s="2">
        <v>31949</v>
      </c>
      <c r="C8" s="2">
        <f>F8/19</f>
        <v>42105.26315789474</v>
      </c>
      <c r="D8" s="4">
        <f>B8/C8</f>
        <v>0.7587887499999999</v>
      </c>
      <c r="E8" s="2">
        <v>376810</v>
      </c>
      <c r="F8" s="24">
        <v>800000</v>
      </c>
      <c r="G8" s="12">
        <f xml:space="preserve"> E8/F8</f>
        <v>0.4710125</v>
      </c>
      <c r="H8" s="10">
        <f>E8-C8*2</f>
        <v>292599.4736842105</v>
      </c>
      <c r="I8" s="13">
        <f>E8-F8</f>
        <v>-423190</v>
      </c>
      <c r="J8" s="10">
        <v>0</v>
      </c>
      <c r="K8" s="11"/>
      <c r="L8" s="11"/>
      <c r="M8" s="11"/>
      <c r="N8" s="11"/>
      <c r="O8" s="11"/>
      <c r="P8" s="11"/>
      <c r="Q8" s="11"/>
      <c r="R8" s="11"/>
      <c r="S8" s="10"/>
      <c r="T8" s="10"/>
      <c r="U8" s="10"/>
      <c r="V8" s="10"/>
      <c r="W8" s="10"/>
      <c r="X8" s="10">
        <v>0</v>
      </c>
      <c r="Y8" s="10"/>
      <c r="Z8" s="10">
        <v>0</v>
      </c>
      <c r="AA8" s="10">
        <v>0</v>
      </c>
      <c r="AB8" s="10">
        <v>0</v>
      </c>
      <c r="AC8" s="10">
        <v>0</v>
      </c>
      <c r="AD8" s="10"/>
      <c r="AE8" s="10" t="s">
        <v>42</v>
      </c>
      <c r="AF8" s="10"/>
    </row>
    <row r="9" spans="1:32" ht="30" customHeight="1">
      <c r="A9" s="30" t="s">
        <v>9</v>
      </c>
      <c r="B9" s="2">
        <v>0</v>
      </c>
      <c r="C9" s="2">
        <f>F9/19</f>
        <v>15789.473684210527</v>
      </c>
      <c r="D9" s="4">
        <f>B9/C9</f>
        <v>0</v>
      </c>
      <c r="E9" s="2">
        <v>2795</v>
      </c>
      <c r="F9" s="24">
        <v>300000</v>
      </c>
      <c r="G9" s="12">
        <f xml:space="preserve"> E9/F9</f>
        <v>9.3166666666666658E-3</v>
      </c>
      <c r="H9" s="10">
        <f>E9-C9*2</f>
        <v>-28783.947368421053</v>
      </c>
      <c r="I9" s="13">
        <f>E9-F9</f>
        <v>-297205</v>
      </c>
      <c r="J9" s="10">
        <v>0</v>
      </c>
      <c r="K9" s="11"/>
      <c r="L9" s="11"/>
      <c r="M9" s="11"/>
      <c r="N9" s="11"/>
      <c r="O9" s="11"/>
      <c r="P9" s="11"/>
      <c r="Q9" s="11"/>
      <c r="R9" s="11"/>
      <c r="S9" s="10"/>
      <c r="T9" s="10"/>
      <c r="U9" s="10"/>
      <c r="V9" s="10"/>
      <c r="W9" s="10"/>
      <c r="X9" s="10">
        <v>0</v>
      </c>
      <c r="Y9" s="10"/>
      <c r="Z9" s="10">
        <v>0</v>
      </c>
      <c r="AA9" s="10">
        <v>0</v>
      </c>
      <c r="AB9" s="10">
        <v>0</v>
      </c>
      <c r="AC9" s="10">
        <v>0</v>
      </c>
      <c r="AD9" s="10"/>
      <c r="AE9" s="10"/>
      <c r="AF9" s="10"/>
    </row>
    <row r="10" spans="1:32" s="18" customFormat="1" ht="30" customHeight="1">
      <c r="A10" s="31" t="s">
        <v>11</v>
      </c>
      <c r="B10" s="3">
        <f>SUM(B7:B9)</f>
        <v>99610</v>
      </c>
      <c r="C10" s="3">
        <f>SUM(C7:C9)</f>
        <v>121052.63157894739</v>
      </c>
      <c r="D10" s="5">
        <f>B10/C10</f>
        <v>0.82286521739130425</v>
      </c>
      <c r="E10" s="3">
        <f>SUM(E7:E9)</f>
        <v>1081813</v>
      </c>
      <c r="F10" s="25">
        <f>SUM(F7:F9)</f>
        <v>2300000</v>
      </c>
      <c r="G10" s="15">
        <f xml:space="preserve"> E10/F10</f>
        <v>0.47035347826086954</v>
      </c>
      <c r="H10" s="14">
        <f>E10-C10*2</f>
        <v>839707.73684210517</v>
      </c>
      <c r="I10" s="16">
        <f>E10-F10</f>
        <v>-1218187</v>
      </c>
      <c r="J10" s="14">
        <f>SUM(J7:J9)</f>
        <v>3</v>
      </c>
      <c r="K10" s="17"/>
      <c r="L10" s="17"/>
      <c r="M10" s="17"/>
      <c r="N10" s="17"/>
      <c r="O10" s="17"/>
      <c r="P10" s="17"/>
      <c r="Q10" s="17"/>
      <c r="R10" s="17"/>
      <c r="S10" s="14"/>
      <c r="T10" s="14"/>
      <c r="U10" s="14"/>
      <c r="V10" s="14"/>
      <c r="W10" s="14"/>
      <c r="X10" s="14">
        <f>SUM(X7:X9)</f>
        <v>0</v>
      </c>
      <c r="Y10" s="14"/>
      <c r="Z10" s="14">
        <f>SUM(Z7:Z9)</f>
        <v>0</v>
      </c>
      <c r="AA10" s="14">
        <f>SUM(AA7:AA9)</f>
        <v>0</v>
      </c>
      <c r="AB10" s="14">
        <f>SUM(AB7:AB9)</f>
        <v>2</v>
      </c>
      <c r="AC10" s="14">
        <f>SUM(AC7:AC9)</f>
        <v>0</v>
      </c>
      <c r="AD10" s="14"/>
      <c r="AE10" s="14"/>
      <c r="AF10" s="14"/>
    </row>
    <row r="11" spans="1:32" ht="30" customHeight="1">
      <c r="A11" s="30" t="s">
        <v>3</v>
      </c>
      <c r="B11" s="2">
        <v>51111</v>
      </c>
      <c r="C11" s="2">
        <f>F11/19</f>
        <v>52631.57894736842</v>
      </c>
      <c r="D11" s="4">
        <f>B11/C11</f>
        <v>0.971109</v>
      </c>
      <c r="E11" s="2">
        <v>376397</v>
      </c>
      <c r="F11" s="24">
        <v>1000000</v>
      </c>
      <c r="G11" s="12">
        <f xml:space="preserve"> E11/F11</f>
        <v>0.37639699999999998</v>
      </c>
      <c r="H11" s="10">
        <f>E11-C11*2</f>
        <v>271133.84210526315</v>
      </c>
      <c r="I11" s="13">
        <f>E11-F11</f>
        <v>-623603</v>
      </c>
      <c r="J11" s="10">
        <v>0</v>
      </c>
      <c r="K11" s="11"/>
      <c r="L11" s="11"/>
      <c r="M11" s="11"/>
      <c r="N11" s="11"/>
      <c r="O11" s="11"/>
      <c r="P11" s="11"/>
      <c r="Q11" s="11"/>
      <c r="R11" s="11"/>
      <c r="S11" s="10"/>
      <c r="T11" s="10"/>
      <c r="U11" s="10"/>
      <c r="V11" s="10"/>
      <c r="W11" s="10"/>
      <c r="X11" s="10">
        <v>0</v>
      </c>
      <c r="Y11" s="10"/>
      <c r="Z11" s="10">
        <v>0</v>
      </c>
      <c r="AA11" s="10">
        <v>0</v>
      </c>
      <c r="AB11" s="10">
        <v>2</v>
      </c>
      <c r="AC11" s="10">
        <v>0</v>
      </c>
      <c r="AD11" s="10"/>
      <c r="AE11" s="10" t="s">
        <v>43</v>
      </c>
      <c r="AF11" s="10"/>
    </row>
    <row r="12" spans="1:32" ht="30" customHeight="1">
      <c r="A12" s="30" t="s">
        <v>8</v>
      </c>
      <c r="B12" s="2">
        <v>40531</v>
      </c>
      <c r="C12" s="2">
        <f>F12/19</f>
        <v>15789.473684210527</v>
      </c>
      <c r="D12" s="4">
        <f>B12/C12</f>
        <v>2.5669633333333333</v>
      </c>
      <c r="E12" s="2">
        <v>147053</v>
      </c>
      <c r="F12" s="24">
        <v>300000</v>
      </c>
      <c r="G12" s="12">
        <f xml:space="preserve"> E12/F12</f>
        <v>0.49017666666666665</v>
      </c>
      <c r="H12" s="10">
        <f>E12-C12*2</f>
        <v>115474.05263157895</v>
      </c>
      <c r="I12" s="13">
        <f>E12-F12</f>
        <v>-152947</v>
      </c>
      <c r="J12" s="10">
        <v>0</v>
      </c>
      <c r="K12" s="11"/>
      <c r="L12" s="11"/>
      <c r="M12" s="11"/>
      <c r="N12" s="11"/>
      <c r="O12" s="11"/>
      <c r="P12" s="11"/>
      <c r="Q12" s="11"/>
      <c r="R12" s="11"/>
      <c r="S12" s="10"/>
      <c r="T12" s="10"/>
      <c r="U12" s="10"/>
      <c r="V12" s="10"/>
      <c r="W12" s="10"/>
      <c r="X12" s="10">
        <v>0</v>
      </c>
      <c r="Y12" s="10"/>
      <c r="Z12" s="10">
        <v>0</v>
      </c>
      <c r="AA12" s="10">
        <v>0</v>
      </c>
      <c r="AB12" s="10">
        <v>3</v>
      </c>
      <c r="AC12" s="10">
        <v>0</v>
      </c>
      <c r="AD12" s="10"/>
      <c r="AE12" s="10"/>
      <c r="AF12" s="10"/>
    </row>
    <row r="13" spans="1:32" ht="30" customHeight="1">
      <c r="A13" s="30" t="s">
        <v>1</v>
      </c>
      <c r="B13" s="2">
        <v>2562</v>
      </c>
      <c r="C13" s="2">
        <f>F13/19</f>
        <v>10526.315789473685</v>
      </c>
      <c r="D13" s="4">
        <f>B13/C13</f>
        <v>0.24338999999999997</v>
      </c>
      <c r="E13" s="2">
        <v>86055</v>
      </c>
      <c r="F13" s="24">
        <v>200000</v>
      </c>
      <c r="G13" s="12">
        <f xml:space="preserve"> E13/F13</f>
        <v>0.43027500000000002</v>
      </c>
      <c r="H13" s="10">
        <f>E13-C13*2</f>
        <v>65002.368421052626</v>
      </c>
      <c r="I13" s="13">
        <f>E13-F13</f>
        <v>-113945</v>
      </c>
      <c r="J13" s="10">
        <v>0</v>
      </c>
      <c r="K13" s="11"/>
      <c r="L13" s="11"/>
      <c r="M13" s="11"/>
      <c r="N13" s="11"/>
      <c r="O13" s="11"/>
      <c r="P13" s="11"/>
      <c r="Q13" s="11"/>
      <c r="R13" s="11"/>
      <c r="S13" s="10"/>
      <c r="T13" s="10"/>
      <c r="U13" s="10"/>
      <c r="V13" s="10"/>
      <c r="W13" s="10"/>
      <c r="X13" s="10">
        <v>0</v>
      </c>
      <c r="Y13" s="10"/>
      <c r="Z13" s="10">
        <v>0</v>
      </c>
      <c r="AA13" s="10">
        <v>0</v>
      </c>
      <c r="AB13" s="10">
        <v>0</v>
      </c>
      <c r="AC13" s="10">
        <v>0</v>
      </c>
      <c r="AD13" s="10"/>
      <c r="AE13" s="10"/>
      <c r="AF13" s="10"/>
    </row>
    <row r="14" spans="1:32" s="18" customFormat="1" ht="30" customHeight="1">
      <c r="A14" s="31" t="s">
        <v>10</v>
      </c>
      <c r="B14" s="3">
        <f>SUM(B11:B13)</f>
        <v>94204</v>
      </c>
      <c r="C14" s="3">
        <f>SUM(C11:C13)</f>
        <v>78947.368421052626</v>
      </c>
      <c r="D14" s="5">
        <f>B14/C14</f>
        <v>1.1932506666666667</v>
      </c>
      <c r="E14" s="3">
        <f>SUM(E11:E13)</f>
        <v>609505</v>
      </c>
      <c r="F14" s="25">
        <f>SUM(F11:F13)</f>
        <v>1500000</v>
      </c>
      <c r="G14" s="15">
        <f xml:space="preserve"> E14/F14</f>
        <v>0.40633666666666668</v>
      </c>
      <c r="H14" s="14">
        <f>E14-C14*2</f>
        <v>451610.26315789472</v>
      </c>
      <c r="I14" s="16">
        <f>E14-F14</f>
        <v>-890495</v>
      </c>
      <c r="J14" s="14">
        <f>SUM(J11:J13)</f>
        <v>0</v>
      </c>
      <c r="K14" s="17"/>
      <c r="L14" s="17"/>
      <c r="M14" s="17"/>
      <c r="N14" s="17"/>
      <c r="O14" s="17"/>
      <c r="P14" s="17"/>
      <c r="Q14" s="17"/>
      <c r="R14" s="17"/>
      <c r="S14" s="14"/>
      <c r="T14" s="14"/>
      <c r="U14" s="14"/>
      <c r="V14" s="14"/>
      <c r="W14" s="14"/>
      <c r="X14" s="14">
        <f>SUM(X11:X13)</f>
        <v>0</v>
      </c>
      <c r="Y14" s="14"/>
      <c r="Z14" s="14">
        <f>SUM(Z11:Z13)</f>
        <v>0</v>
      </c>
      <c r="AA14" s="14">
        <f>SUM(AA11:AA13)</f>
        <v>0</v>
      </c>
      <c r="AB14" s="14">
        <f>SUM(AB11:AB13)</f>
        <v>5</v>
      </c>
      <c r="AC14" s="14">
        <f>SUM(AC11:AC13)</f>
        <v>0</v>
      </c>
      <c r="AD14" s="14"/>
      <c r="AE14" s="14"/>
      <c r="AF14" s="14"/>
    </row>
    <row r="15" spans="1:32" s="23" customFormat="1" ht="30" customHeight="1">
      <c r="A15" s="32" t="s">
        <v>44</v>
      </c>
      <c r="B15" s="20">
        <f>B6+B10+B14</f>
        <v>276136</v>
      </c>
      <c r="C15" s="20">
        <f>C6+C10+C14</f>
        <v>389473.68421052635</v>
      </c>
      <c r="D15" s="21">
        <f>B6/C6</f>
        <v>0.43447722222222224</v>
      </c>
      <c r="E15" s="20">
        <f>E6+E10+E14</f>
        <v>2905121</v>
      </c>
      <c r="F15" s="26">
        <f>F6+F10+F14</f>
        <v>7400000</v>
      </c>
      <c r="G15" s="21">
        <f>G14/G14</f>
        <v>1</v>
      </c>
      <c r="H15" s="19"/>
      <c r="I15" s="19"/>
      <c r="J15" s="19">
        <f>J6+J10+J14</f>
        <v>10</v>
      </c>
      <c r="K15" s="22"/>
      <c r="L15" s="22"/>
      <c r="M15" s="22"/>
      <c r="N15" s="22"/>
      <c r="O15" s="22"/>
      <c r="P15" s="22"/>
      <c r="Q15" s="22"/>
      <c r="R15" s="22"/>
      <c r="S15" s="19"/>
      <c r="T15" s="19"/>
      <c r="U15" s="19"/>
      <c r="V15" s="19"/>
      <c r="W15" s="19"/>
      <c r="X15" s="19">
        <f>X6+X10+X14</f>
        <v>0</v>
      </c>
      <c r="Y15" s="19"/>
      <c r="Z15" s="19">
        <f>Z6+Z10+Z14</f>
        <v>1</v>
      </c>
      <c r="AA15" s="19">
        <f>AA6+AA10+AA14</f>
        <v>6</v>
      </c>
      <c r="AB15" s="19">
        <f>AB6+AB10+AB14</f>
        <v>10</v>
      </c>
      <c r="AC15" s="19">
        <f>AC6+AC10+AC14</f>
        <v>0</v>
      </c>
      <c r="AD15" s="19"/>
      <c r="AE15" s="19"/>
      <c r="AF15" s="19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2020-10-19T09:43:49Z</dcterms:created>
  <dcterms:modified xsi:type="dcterms:W3CDTF">2020-10-19T09:43:50Z</dcterms:modified>
</cp:coreProperties>
</file>