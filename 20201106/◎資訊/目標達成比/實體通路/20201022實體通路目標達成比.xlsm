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X15" s="1"/>
  <c r="K14"/>
  <c r="J14"/>
  <c r="D12"/>
  <c r="C12"/>
  <c r="H12" s="1"/>
  <c r="I12"/>
  <c r="D11"/>
  <c r="C11"/>
  <c r="H11" s="1"/>
  <c r="I11"/>
  <c r="C13"/>
  <c r="D13" s="1"/>
  <c r="I13"/>
  <c r="AC10"/>
  <c r="AB10"/>
  <c r="AA10"/>
  <c r="Z10"/>
  <c r="Z15" s="1"/>
  <c r="X10"/>
  <c r="K10"/>
  <c r="J10"/>
  <c r="C10"/>
  <c r="D9"/>
  <c r="C9"/>
  <c r="H9" s="1"/>
  <c r="I9"/>
  <c r="D8"/>
  <c r="C8"/>
  <c r="H8" s="1"/>
  <c r="I8"/>
  <c r="D7"/>
  <c r="C7"/>
  <c r="H7" s="1"/>
  <c r="I7"/>
  <c r="AC6"/>
  <c r="AC15" s="1"/>
  <c r="AB6"/>
  <c r="AB15" s="1"/>
  <c r="AA6"/>
  <c r="AA15" s="1"/>
  <c r="Z6"/>
  <c r="X6"/>
  <c r="K6"/>
  <c r="K15" s="1"/>
  <c r="J6"/>
  <c r="J15" s="1"/>
  <c r="D5"/>
  <c r="C5"/>
  <c r="H5" s="1"/>
  <c r="I5"/>
  <c r="D3"/>
  <c r="C3"/>
  <c r="H3" s="1"/>
  <c r="I3"/>
  <c r="C4"/>
  <c r="H4" s="1"/>
  <c r="I4"/>
  <c r="F14"/>
  <c r="E14"/>
  <c r="I14" s="1"/>
  <c r="B14"/>
  <c r="F10"/>
  <c r="E10"/>
  <c r="G10" s="1"/>
  <c r="B10"/>
  <c r="F6"/>
  <c r="F15" s="1"/>
  <c r="E6"/>
  <c r="B6"/>
  <c r="G12"/>
  <c r="G11"/>
  <c r="G13"/>
  <c r="G9"/>
  <c r="G8"/>
  <c r="G7"/>
  <c r="G5"/>
  <c r="G3"/>
  <c r="G4"/>
  <c r="D14" l="1"/>
  <c r="H13"/>
  <c r="G14"/>
  <c r="C14"/>
  <c r="H14" s="1"/>
  <c r="H10"/>
  <c r="D10"/>
  <c r="I10"/>
  <c r="D6"/>
  <c r="B15"/>
  <c r="G6"/>
  <c r="C6"/>
  <c r="E15"/>
  <c r="G15" s="1"/>
  <c r="D4"/>
  <c r="I6"/>
  <c r="H6" l="1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<sst xmlns="http://schemas.openxmlformats.org/spreadsheetml/2006/main" count="52" uniqueCount="48">
  <si>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</si>
  <si>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</si>
  <si>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</si>
  <si>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</si>
  <si>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</si>
  <si>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</si>
  <si>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</si>
  <si>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</si>
  <si>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</si>
  <si>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</si>
  <si>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</si>
  <si>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</si>
  <si>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</si>
  <si>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</si>
  <si>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</si>
  <si>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</si>
  <si>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</si>
  <si>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</si>
  <si>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</si>
  <si>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</si>
  <si>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</si>
  <si>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</si>
  <si>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</si>
  <si>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</si>
  <si>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</si>
  <si>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</si>
  <si>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</si>
  <si>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</si>
  <si>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</si>
  <si>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</si>
  <si>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</si>
  <si>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</si>
  <si>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</si>
  <si>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</si>
  <si>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</si>
  <si>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</si>
  <si>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</si>
  <si>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</si>
  <si>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</si>
  <si>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</si>
  <si>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</si>
  <si>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</si>
  <si>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</si>
  <si>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</si>
  <si>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</si>
  <si>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</si>
  <si>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</si>
  <si>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2020/10/01-2020/10/22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</si>
</sst>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,##0_ ;[Red]\-#,##0\ "/>
    <numFmt numFmtId="179" formatCode="#,##0;[Red]#,##0"/>
    <numFmt numFmtId="180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0" fontId="2" fillId="0" borderId="0" xfId="0" applyNumberFormat="1" applyFont="1" applyAlignment="1">
      <alignment vertical="center"/>
    </xf>
    <xf numFmtId="180" fontId="2" fillId="0" borderId="2" xfId="0" applyNumberFormat="1" applyFont="1" applyBorder="1" applyAlignment="1">
      <alignment horizontal="center"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4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30" customWidth="1"/>
    <col min="11" max="11" width="20.7109375" style="30" customWidth="1"/>
    <col min="12" max="12" width="13.85546875" style="30" hidden="1" customWidth="1"/>
    <col min="13" max="16" width="13" style="30" hidden="1" customWidth="1"/>
    <col min="17" max="17" width="15" style="30" hidden="1" customWidth="1"/>
    <col min="18" max="23" width="13" style="30" hidden="1" customWidth="1"/>
    <col min="24" max="24" width="9.42578125" style="30" customWidth="1"/>
    <col min="25" max="25" width="21.5703125" style="30" hidden="1" customWidth="1"/>
    <col min="26" max="26" width="16.5703125" style="30" customWidth="1"/>
    <col min="27" max="27" width="20.7109375" style="30" customWidth="1"/>
    <col min="28" max="28" width="11.85546875" style="30" customWidth="1"/>
    <col min="29" max="29" width="14" style="30" customWidth="1"/>
    <col min="30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28" t="s">
        <v>46</v>
      </c>
      <c r="B1" s="29">
        <v>44126</v>
      </c>
      <c r="F1" s="8" t="s">
        <v>47</v>
      </c>
      <c r="G1" s="8"/>
    </row>
    <row r="2" spans="1:32" s="6" customFormat="1" ht="30" customHeight="1">
      <c r="A2" s="25" t="s">
        <v>0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23" t="s">
        <v>20</v>
      </c>
      <c r="J2" s="31" t="s">
        <v>21</v>
      </c>
      <c r="K2" s="31" t="s">
        <v>22</v>
      </c>
      <c r="L2" s="31" t="s">
        <v>23</v>
      </c>
      <c r="M2" s="31" t="s">
        <v>24</v>
      </c>
      <c r="N2" s="31" t="s">
        <v>25</v>
      </c>
      <c r="O2" s="31" t="s">
        <v>26</v>
      </c>
      <c r="P2" s="31" t="s">
        <v>27</v>
      </c>
      <c r="Q2" s="31" t="s">
        <v>28</v>
      </c>
      <c r="R2" s="31" t="s">
        <v>29</v>
      </c>
      <c r="S2" s="31" t="s">
        <v>30</v>
      </c>
      <c r="T2" s="31" t="s">
        <v>31</v>
      </c>
      <c r="U2" s="31" t="s">
        <v>32</v>
      </c>
      <c r="V2" s="31" t="s">
        <v>24</v>
      </c>
      <c r="W2" s="31" t="s">
        <v>33</v>
      </c>
      <c r="X2" s="31" t="s">
        <v>34</v>
      </c>
      <c r="Y2" s="31" t="s">
        <v>35</v>
      </c>
      <c r="Z2" s="31" t="s">
        <v>36</v>
      </c>
      <c r="AA2" s="31" t="s">
        <v>37</v>
      </c>
      <c r="AB2" s="31" t="s">
        <v>38</v>
      </c>
      <c r="AC2" s="31">
        <v>6055</v>
      </c>
      <c r="AD2" s="1" t="s">
        <v>39</v>
      </c>
      <c r="AE2" s="1" t="s">
        <v>40</v>
      </c>
      <c r="AF2" s="1" t="s">
        <v>41</v>
      </c>
    </row>
    <row r="3" spans="1:32" ht="30" customHeight="1">
      <c r="A3" s="25" t="s">
        <v>5</v>
      </c>
      <c r="B3" s="2">
        <v>120887</v>
      </c>
      <c r="C3" s="2">
        <f>F3/19</f>
        <v>73684.210526315786</v>
      </c>
      <c r="D3" s="4">
        <f>B3/C3</f>
        <v>1.6406092857142858</v>
      </c>
      <c r="E3" s="2">
        <v>703071</v>
      </c>
      <c r="F3" s="20">
        <v>1400000</v>
      </c>
      <c r="G3" s="10">
        <f xml:space="preserve"> E3/F3</f>
        <v>0.50219357142857146</v>
      </c>
      <c r="H3" s="9">
        <f>E3-C3*2</f>
        <v>555702.57894736843</v>
      </c>
      <c r="I3" s="11">
        <f>E3-F3</f>
        <v>-696929</v>
      </c>
      <c r="J3" s="32">
        <v>10</v>
      </c>
      <c r="K3" s="32">
        <v>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>
        <v>0</v>
      </c>
      <c r="Y3" s="32"/>
      <c r="Z3" s="32">
        <v>1</v>
      </c>
      <c r="AA3" s="32">
        <v>0</v>
      </c>
      <c r="AB3" s="32">
        <v>0</v>
      </c>
      <c r="AC3" s="32">
        <v>0</v>
      </c>
      <c r="AD3" s="9"/>
      <c r="AE3" s="9" t="s">
        <v>43</v>
      </c>
      <c r="AF3" s="9"/>
    </row>
    <row r="4" spans="1:32" ht="30" customHeight="1">
      <c r="A4" s="25" t="s">
        <v>2</v>
      </c>
      <c r="B4" s="2">
        <v>73243</v>
      </c>
      <c r="C4" s="2">
        <f>F4/19</f>
        <v>63157.894736842107</v>
      </c>
      <c r="D4" s="4">
        <f>B4/C4</f>
        <v>1.1596808333333333</v>
      </c>
      <c r="E4" s="2">
        <v>415654</v>
      </c>
      <c r="F4" s="20">
        <v>1200000</v>
      </c>
      <c r="G4" s="10">
        <f xml:space="preserve"> E4/F4</f>
        <v>0.34637833333333334</v>
      </c>
      <c r="H4" s="9">
        <f>E4-C4*2</f>
        <v>289338.21052631579</v>
      </c>
      <c r="I4" s="11">
        <f>E4-F4</f>
        <v>-784346</v>
      </c>
      <c r="J4" s="32">
        <v>0</v>
      </c>
      <c r="K4" s="32">
        <v>0</v>
      </c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>
        <v>0</v>
      </c>
      <c r="Y4" s="32"/>
      <c r="Z4" s="32">
        <v>0</v>
      </c>
      <c r="AA4" s="32">
        <v>6</v>
      </c>
      <c r="AB4" s="32">
        <v>0</v>
      </c>
      <c r="AC4" s="32">
        <v>0</v>
      </c>
      <c r="AD4" s="9"/>
      <c r="AE4" s="9" t="s">
        <v>42</v>
      </c>
      <c r="AF4" s="9"/>
    </row>
    <row r="5" spans="1:32" ht="30" customHeight="1">
      <c r="A5" s="25" t="s">
        <v>6</v>
      </c>
      <c r="B5" s="2">
        <v>115022</v>
      </c>
      <c r="C5" s="2">
        <f>F5/19</f>
        <v>52631.57894736842</v>
      </c>
      <c r="D5" s="4">
        <f>B5/C5</f>
        <v>2.1854179999999999</v>
      </c>
      <c r="E5" s="2">
        <v>646992</v>
      </c>
      <c r="F5" s="20">
        <v>1000000</v>
      </c>
      <c r="G5" s="10">
        <f xml:space="preserve"> E5/F5</f>
        <v>0.64699200000000001</v>
      </c>
      <c r="H5" s="9">
        <f>E5-C5*2</f>
        <v>541728.84210526315</v>
      </c>
      <c r="I5" s="11">
        <f>E5-F5</f>
        <v>-353008</v>
      </c>
      <c r="J5" s="32">
        <v>7</v>
      </c>
      <c r="K5" s="32">
        <v>0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>
        <v>0</v>
      </c>
      <c r="Y5" s="32"/>
      <c r="Z5" s="32">
        <v>0</v>
      </c>
      <c r="AA5" s="32">
        <v>0</v>
      </c>
      <c r="AB5" s="32">
        <v>9</v>
      </c>
      <c r="AC5" s="32">
        <v>1</v>
      </c>
      <c r="AD5" s="9"/>
      <c r="AE5" s="9" t="s">
        <v>42</v>
      </c>
      <c r="AF5" s="9"/>
    </row>
    <row r="6" spans="1:32" s="15" customFormat="1" ht="30" customHeight="1">
      <c r="A6" s="26" t="s">
        <v>12</v>
      </c>
      <c r="B6" s="3">
        <f>SUM(B3:B5)</f>
        <v>309152</v>
      </c>
      <c r="C6" s="3">
        <f>SUM(C3:C5)</f>
        <v>189473.68421052632</v>
      </c>
      <c r="D6" s="5">
        <f>B6/C6</f>
        <v>1.6316355555555555</v>
      </c>
      <c r="E6" s="3">
        <f>SUM(E3:E5)</f>
        <v>1765717</v>
      </c>
      <c r="F6" s="21">
        <f>SUM(F3:F5)</f>
        <v>3600000</v>
      </c>
      <c r="G6" s="13">
        <f xml:space="preserve"> E6/F6</f>
        <v>0.49047694444444445</v>
      </c>
      <c r="H6" s="12">
        <f>E6-C6*2</f>
        <v>1386769.6315789474</v>
      </c>
      <c r="I6" s="14">
        <f>E6-F6</f>
        <v>-1834283</v>
      </c>
      <c r="J6" s="33">
        <f>SUM(J3:J5)</f>
        <v>17</v>
      </c>
      <c r="K6" s="33">
        <f>SUM(K3:K5)</f>
        <v>0</v>
      </c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>
        <f>SUM(X3:X5)</f>
        <v>0</v>
      </c>
      <c r="Y6" s="33"/>
      <c r="Z6" s="33">
        <f>SUM(Z3:Z5)</f>
        <v>1</v>
      </c>
      <c r="AA6" s="33">
        <f>SUM(AA3:AA5)</f>
        <v>6</v>
      </c>
      <c r="AB6" s="33">
        <f>SUM(AB3:AB5)</f>
        <v>9</v>
      </c>
      <c r="AC6" s="33">
        <f>SUM(AC3:AC5)</f>
        <v>1</v>
      </c>
      <c r="AD6" s="12"/>
      <c r="AE6" s="12"/>
      <c r="AF6" s="12"/>
    </row>
    <row r="7" spans="1:32" ht="30" customHeight="1">
      <c r="A7" s="25" t="s">
        <v>4</v>
      </c>
      <c r="B7" s="2">
        <v>56825</v>
      </c>
      <c r="C7" s="2">
        <f>F7/19</f>
        <v>63157.894736842107</v>
      </c>
      <c r="D7" s="4">
        <f>B7/C7</f>
        <v>0.89972916666666669</v>
      </c>
      <c r="E7" s="2">
        <v>918136</v>
      </c>
      <c r="F7" s="20">
        <v>1200000</v>
      </c>
      <c r="G7" s="10">
        <f xml:space="preserve"> E7/F7</f>
        <v>0.76511333333333331</v>
      </c>
      <c r="H7" s="9">
        <f>E7-C7*2</f>
        <v>791820.21052631573</v>
      </c>
      <c r="I7" s="11">
        <f>E7-F7</f>
        <v>-281864</v>
      </c>
      <c r="J7" s="32">
        <v>6</v>
      </c>
      <c r="K7" s="32">
        <v>0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>
        <v>0</v>
      </c>
      <c r="Y7" s="32"/>
      <c r="Z7" s="32">
        <v>2</v>
      </c>
      <c r="AA7" s="32">
        <v>1</v>
      </c>
      <c r="AB7" s="32">
        <v>2</v>
      </c>
      <c r="AC7" s="32">
        <v>2</v>
      </c>
      <c r="AD7" s="9"/>
      <c r="AE7" s="9" t="s">
        <v>43</v>
      </c>
      <c r="AF7" s="9"/>
    </row>
    <row r="8" spans="1:32" ht="30" customHeight="1">
      <c r="A8" s="25" t="s">
        <v>7</v>
      </c>
      <c r="B8" s="2">
        <v>36056</v>
      </c>
      <c r="C8" s="2">
        <f>F8/19</f>
        <v>42105.26315789474</v>
      </c>
      <c r="D8" s="4">
        <f>B8/C8</f>
        <v>0.85632999999999992</v>
      </c>
      <c r="E8" s="2">
        <v>425563</v>
      </c>
      <c r="F8" s="20">
        <v>800000</v>
      </c>
      <c r="G8" s="10">
        <f xml:space="preserve"> E8/F8</f>
        <v>0.53195375</v>
      </c>
      <c r="H8" s="9">
        <f>E8-C8*2</f>
        <v>341352.4736842105</v>
      </c>
      <c r="I8" s="11">
        <f>E8-F8</f>
        <v>-374437</v>
      </c>
      <c r="J8" s="32">
        <v>0</v>
      </c>
      <c r="K8" s="32">
        <v>4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>
        <v>9</v>
      </c>
      <c r="Y8" s="32"/>
      <c r="Z8" s="32">
        <v>0</v>
      </c>
      <c r="AA8" s="32">
        <v>0</v>
      </c>
      <c r="AB8" s="32">
        <v>0</v>
      </c>
      <c r="AC8" s="32">
        <v>0</v>
      </c>
      <c r="AD8" s="9"/>
      <c r="AE8" s="9" t="s">
        <v>43</v>
      </c>
      <c r="AF8" s="9"/>
    </row>
    <row r="9" spans="1:32" ht="30" customHeight="1">
      <c r="A9" s="25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0">
        <v>300000</v>
      </c>
      <c r="G9" s="10">
        <f xml:space="preserve"> E9/F9</f>
        <v>9.3166666666666658E-3</v>
      </c>
      <c r="H9" s="9">
        <f>E9-C9*2</f>
        <v>-28783.947368421053</v>
      </c>
      <c r="I9" s="11">
        <f>E9-F9</f>
        <v>-297205</v>
      </c>
      <c r="J9" s="32">
        <v>0</v>
      </c>
      <c r="K9" s="32">
        <v>0</v>
      </c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>
        <v>0</v>
      </c>
      <c r="Y9" s="32"/>
      <c r="Z9" s="32">
        <v>0</v>
      </c>
      <c r="AA9" s="32">
        <v>0</v>
      </c>
      <c r="AB9" s="32">
        <v>0</v>
      </c>
      <c r="AC9" s="32">
        <v>0</v>
      </c>
      <c r="AD9" s="9"/>
      <c r="AE9" s="9"/>
      <c r="AF9" s="9"/>
    </row>
    <row r="10" spans="1:32" s="15" customFormat="1" ht="30" customHeight="1">
      <c r="A10" s="26" t="s">
        <v>11</v>
      </c>
      <c r="B10" s="3">
        <f>SUM(B7:B9)</f>
        <v>92881</v>
      </c>
      <c r="C10" s="3">
        <f>SUM(C7:C9)</f>
        <v>121052.63157894739</v>
      </c>
      <c r="D10" s="5">
        <f>B10/C10</f>
        <v>0.76727782608695638</v>
      </c>
      <c r="E10" s="3">
        <f>SUM(E7:E9)</f>
        <v>1346494</v>
      </c>
      <c r="F10" s="21">
        <f>SUM(F7:F9)</f>
        <v>2300000</v>
      </c>
      <c r="G10" s="13">
        <f xml:space="preserve"> E10/F10</f>
        <v>0.58543217391304347</v>
      </c>
      <c r="H10" s="12">
        <f>E10-C10*2</f>
        <v>1104388.7368421052</v>
      </c>
      <c r="I10" s="14">
        <f>E10-F10</f>
        <v>-953506</v>
      </c>
      <c r="J10" s="33">
        <f>SUM(J7:J9)</f>
        <v>6</v>
      </c>
      <c r="K10" s="33">
        <f>SUM(K7:K9)</f>
        <v>4</v>
      </c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>
        <f>SUM(X7:X9)</f>
        <v>9</v>
      </c>
      <c r="Y10" s="33"/>
      <c r="Z10" s="33">
        <f>SUM(Z7:Z9)</f>
        <v>2</v>
      </c>
      <c r="AA10" s="33">
        <f>SUM(AA7:AA9)</f>
        <v>1</v>
      </c>
      <c r="AB10" s="33">
        <f>SUM(AB7:AB9)</f>
        <v>2</v>
      </c>
      <c r="AC10" s="33">
        <f>SUM(AC7:AC9)</f>
        <v>2</v>
      </c>
      <c r="AD10" s="12"/>
      <c r="AE10" s="12"/>
      <c r="AF10" s="12"/>
    </row>
    <row r="11" spans="1:32" ht="30" customHeight="1">
      <c r="A11" s="25" t="s">
        <v>3</v>
      </c>
      <c r="B11" s="2">
        <v>84771</v>
      </c>
      <c r="C11" s="2">
        <f>F11/19</f>
        <v>52631.57894736842</v>
      </c>
      <c r="D11" s="4">
        <f>B11/C11</f>
        <v>1.610649</v>
      </c>
      <c r="E11" s="2">
        <v>559585</v>
      </c>
      <c r="F11" s="20">
        <v>1000000</v>
      </c>
      <c r="G11" s="10">
        <f xml:space="preserve"> E11/F11</f>
        <v>0.559585</v>
      </c>
      <c r="H11" s="9">
        <f>E11-C11*2</f>
        <v>454321.84210526315</v>
      </c>
      <c r="I11" s="11">
        <f>E11-F11</f>
        <v>-440415</v>
      </c>
      <c r="J11" s="32">
        <v>1</v>
      </c>
      <c r="K11" s="32">
        <v>0</v>
      </c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>
        <v>0</v>
      </c>
      <c r="Y11" s="32"/>
      <c r="Z11" s="32">
        <v>0</v>
      </c>
      <c r="AA11" s="32">
        <v>0</v>
      </c>
      <c r="AB11" s="32">
        <v>2</v>
      </c>
      <c r="AC11" s="32">
        <v>0</v>
      </c>
      <c r="AD11" s="9"/>
      <c r="AE11" s="9" t="s">
        <v>44</v>
      </c>
      <c r="AF11" s="9"/>
    </row>
    <row r="12" spans="1:32" ht="30" customHeight="1">
      <c r="A12" s="25" t="s">
        <v>8</v>
      </c>
      <c r="B12" s="2">
        <v>6647</v>
      </c>
      <c r="C12" s="2">
        <f>F12/19</f>
        <v>15789.473684210527</v>
      </c>
      <c r="D12" s="4">
        <f>B12/C12</f>
        <v>0.42097666666666667</v>
      </c>
      <c r="E12" s="2">
        <v>165941</v>
      </c>
      <c r="F12" s="20">
        <v>300000</v>
      </c>
      <c r="G12" s="10">
        <f xml:space="preserve"> E12/F12</f>
        <v>0.55313666666666672</v>
      </c>
      <c r="H12" s="9">
        <f>E12-C12*2</f>
        <v>134362.05263157893</v>
      </c>
      <c r="I12" s="11">
        <f>E12-F12</f>
        <v>-134059</v>
      </c>
      <c r="J12" s="32">
        <v>0</v>
      </c>
      <c r="K12" s="32">
        <v>0</v>
      </c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>
        <v>0</v>
      </c>
      <c r="Y12" s="32"/>
      <c r="Z12" s="32">
        <v>0</v>
      </c>
      <c r="AA12" s="32">
        <v>0</v>
      </c>
      <c r="AB12" s="32">
        <v>3</v>
      </c>
      <c r="AC12" s="32">
        <v>0</v>
      </c>
      <c r="AD12" s="9"/>
      <c r="AE12" s="9"/>
      <c r="AF12" s="9"/>
    </row>
    <row r="13" spans="1:32" ht="30" customHeight="1">
      <c r="A13" s="25" t="s">
        <v>1</v>
      </c>
      <c r="B13" s="2">
        <v>3398</v>
      </c>
      <c r="C13" s="2">
        <f>F13/19</f>
        <v>10526.315789473685</v>
      </c>
      <c r="D13" s="4">
        <f>B13/C13</f>
        <v>0.32280999999999999</v>
      </c>
      <c r="E13" s="2">
        <v>104409</v>
      </c>
      <c r="F13" s="20">
        <v>200000</v>
      </c>
      <c r="G13" s="10">
        <f xml:space="preserve"> E13/F13</f>
        <v>0.52204499999999998</v>
      </c>
      <c r="H13" s="9">
        <f>E13-C13*2</f>
        <v>83356.368421052626</v>
      </c>
      <c r="I13" s="11">
        <f>E13-F13</f>
        <v>-95591</v>
      </c>
      <c r="J13" s="32">
        <v>0</v>
      </c>
      <c r="K13" s="32">
        <v>0</v>
      </c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>
        <v>0</v>
      </c>
      <c r="Y13" s="32"/>
      <c r="Z13" s="32">
        <v>0</v>
      </c>
      <c r="AA13" s="32">
        <v>0</v>
      </c>
      <c r="AB13" s="32">
        <v>0</v>
      </c>
      <c r="AC13" s="32">
        <v>0</v>
      </c>
      <c r="AD13" s="9"/>
      <c r="AE13" s="9"/>
      <c r="AF13" s="9"/>
    </row>
    <row r="14" spans="1:32" s="15" customFormat="1" ht="30" customHeight="1">
      <c r="A14" s="26" t="s">
        <v>10</v>
      </c>
      <c r="B14" s="3">
        <f>SUM(B11:B13)</f>
        <v>94816</v>
      </c>
      <c r="C14" s="3">
        <f>SUM(C11:C13)</f>
        <v>78947.368421052626</v>
      </c>
      <c r="D14" s="5">
        <f>B14/C14</f>
        <v>1.2010026666666667</v>
      </c>
      <c r="E14" s="3">
        <f>SUM(E11:E13)</f>
        <v>829935</v>
      </c>
      <c r="F14" s="21">
        <f>SUM(F11:F13)</f>
        <v>1500000</v>
      </c>
      <c r="G14" s="13">
        <f xml:space="preserve"> E14/F14</f>
        <v>0.55328999999999995</v>
      </c>
      <c r="H14" s="12">
        <f>E14-C14*2</f>
        <v>672040.26315789472</v>
      </c>
      <c r="I14" s="14">
        <f>E14-F14</f>
        <v>-670065</v>
      </c>
      <c r="J14" s="33">
        <f>SUM(J11:J13)</f>
        <v>1</v>
      </c>
      <c r="K14" s="33">
        <f>SUM(K11:K13)</f>
        <v>0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>
        <f>SUM(X11:X13)</f>
        <v>0</v>
      </c>
      <c r="Y14" s="33"/>
      <c r="Z14" s="33">
        <f>SUM(Z11:Z13)</f>
        <v>0</v>
      </c>
      <c r="AA14" s="33">
        <f>SUM(AA11:AA13)</f>
        <v>0</v>
      </c>
      <c r="AB14" s="33">
        <f>SUM(AB11:AB13)</f>
        <v>5</v>
      </c>
      <c r="AC14" s="33">
        <f>SUM(AC11:AC13)</f>
        <v>0</v>
      </c>
      <c r="AD14" s="12"/>
      <c r="AE14" s="12"/>
      <c r="AF14" s="12"/>
    </row>
    <row r="15" spans="1:32" s="19" customFormat="1" ht="30" customHeight="1">
      <c r="A15" s="27" t="s">
        <v>45</v>
      </c>
      <c r="B15" s="17">
        <f>B6+B10+B14</f>
        <v>496849</v>
      </c>
      <c r="C15" s="17">
        <f>C6+C10+C14</f>
        <v>389473.68421052635</v>
      </c>
      <c r="D15" s="18">
        <f>B15/C15</f>
        <v>1.2756933783783784</v>
      </c>
      <c r="E15" s="17">
        <f>E6+E10+E14</f>
        <v>3942146</v>
      </c>
      <c r="F15" s="22">
        <f>F6+F10+F14</f>
        <v>7400000</v>
      </c>
      <c r="G15" s="18">
        <f>E15/F15</f>
        <v>0.53272243243243245</v>
      </c>
      <c r="H15" s="16"/>
      <c r="I15" s="16"/>
      <c r="J15" s="34">
        <f>J6+J10+J14</f>
        <v>24</v>
      </c>
      <c r="K15" s="34">
        <f>K6+K10+K14</f>
        <v>4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>
        <f>X6+X10+X14</f>
        <v>9</v>
      </c>
      <c r="Y15" s="34"/>
      <c r="Z15" s="34">
        <f>Z6+Z10+Z14</f>
        <v>3</v>
      </c>
      <c r="AA15" s="34">
        <f>AA6+AA10+AA14</f>
        <v>7</v>
      </c>
      <c r="AB15" s="34">
        <f>AB6+AB10+AB14</f>
        <v>16</v>
      </c>
      <c r="AC15" s="34">
        <f>AC6+AC10+AC14</f>
        <v>3</v>
      </c>
      <c r="AD15" s="16"/>
      <c r="AE15" s="16"/>
      <c r="AF15" s="16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2020-10-22T10:03:31Z</dcterms:created>
  <dcterms:modified xsi:type="dcterms:W3CDTF">2020-10-22T10:03:32Z</dcterms:modified>
</cp:coreProperties>
</file>