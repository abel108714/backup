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120" windowWidth="17040" windowHeight="10560"/>
  </bookViews>
  <sheets>
    <sheet name="Sheet1" sheetId="2" r:id="rId1"/>
  </sheets>
  <calcPr calcId="125725"/>
</workbook>
</file>

<file path=xl/calcChain.xml><?xml version="1.0" encoding="utf-8"?>
<calcChain xmlns="http://schemas.openxmlformats.org/spreadsheetml/2006/main">
  <c r="K14" i="2"/>
  <c r="AC13"/>
  <c r="AB13"/>
  <c r="AA13"/>
  <c r="Z13"/>
  <c r="X13"/>
  <c r="K13"/>
  <c r="J13"/>
  <c r="C12"/>
  <c r="H12" s="1"/>
  <c r="I12"/>
  <c r="D11"/>
  <c r="C11"/>
  <c r="I11"/>
  <c r="H11"/>
  <c r="D10"/>
  <c r="C10"/>
  <c r="H10" s="1"/>
  <c r="I10"/>
  <c r="AC9"/>
  <c r="AB9"/>
  <c r="AB14" s="1"/>
  <c r="AA9"/>
  <c r="Z9"/>
  <c r="X9"/>
  <c r="K9"/>
  <c r="J9"/>
  <c r="C9"/>
  <c r="H9" s="1"/>
  <c r="I9"/>
  <c r="D8"/>
  <c r="C8"/>
  <c r="I8"/>
  <c r="H8"/>
  <c r="D7"/>
  <c r="C7"/>
  <c r="H7" s="1"/>
  <c r="I7"/>
  <c r="AC6"/>
  <c r="AC14" s="1"/>
  <c r="AB6"/>
  <c r="AA6"/>
  <c r="Z6"/>
  <c r="Z14" s="1"/>
  <c r="X6"/>
  <c r="X14" s="1"/>
  <c r="K6"/>
  <c r="J6"/>
  <c r="C6"/>
  <c r="D5"/>
  <c r="C5"/>
  <c r="I5"/>
  <c r="H5"/>
  <c r="D3"/>
  <c r="C3"/>
  <c r="H3" s="1"/>
  <c r="I3"/>
  <c r="C4"/>
  <c r="D4" s="1"/>
  <c r="I4"/>
  <c r="H4"/>
  <c r="F13"/>
  <c r="E13"/>
  <c r="I13" s="1"/>
  <c r="B13"/>
  <c r="F9"/>
  <c r="E9"/>
  <c r="B9"/>
  <c r="D9" s="1"/>
  <c r="F6"/>
  <c r="F14" s="1"/>
  <c r="E6"/>
  <c r="I6" s="1"/>
  <c r="B6"/>
  <c r="G12"/>
  <c r="G11"/>
  <c r="G10"/>
  <c r="G8"/>
  <c r="G7"/>
  <c r="G5"/>
  <c r="G3"/>
  <c r="G4"/>
  <c r="C13" l="1"/>
  <c r="J14"/>
  <c r="AA14"/>
  <c r="D12"/>
  <c r="B14"/>
  <c r="H6"/>
  <c r="D6"/>
  <c r="E14"/>
  <c r="G14" s="1"/>
  <c r="C14"/>
  <c r="D14" s="1"/>
  <c r="G9"/>
  <c r="G13"/>
  <c r="G6"/>
  <c r="H13" l="1"/>
  <c r="D13"/>
</calcChain>
</file>

<file path=xl/sharedStrings.xml><?xml version="1.0" encoding="utf-8"?>
<sst xmlns="http://schemas.openxmlformats.org/spreadsheetml/2006/main" count="51" uniqueCount="47">
  <si>
    <t>業務員</t>
  </si>
  <si>
    <t>張嘉芬</t>
  </si>
  <si>
    <t>李永齊</t>
  </si>
  <si>
    <t>黃三和</t>
  </si>
  <si>
    <t>陳巧芬</t>
  </si>
  <si>
    <t>柯世鵬</t>
  </si>
  <si>
    <t>陳安睫</t>
  </si>
  <si>
    <t>駱麗玲</t>
  </si>
  <si>
    <t>鄭吉珽</t>
  </si>
  <si>
    <t>南區</t>
  </si>
  <si>
    <t>中區</t>
  </si>
  <si>
    <t>連鎖+北區</t>
  </si>
  <si>
    <t>今日績效</t>
  </si>
  <si>
    <t>每日目標</t>
  </si>
  <si>
    <t>當日達成比</t>
  </si>
  <si>
    <t>11月銷貨淨額</t>
  </si>
  <si>
    <t>11月目標</t>
  </si>
  <si>
    <t>累計達成比</t>
  </si>
  <si>
    <t>累積每日進度指標</t>
  </si>
  <si>
    <t>本月尚需努力的數字</t>
  </si>
  <si>
    <t>750B</t>
  </si>
  <si>
    <t>BW980</t>
  </si>
  <si>
    <t>水平床</t>
  </si>
  <si>
    <t>BS1</t>
  </si>
  <si>
    <t>BM1</t>
  </si>
  <si>
    <t>BG1</t>
  </si>
  <si>
    <t>R1</t>
  </si>
  <si>
    <t>律動儀</t>
  </si>
  <si>
    <t>Fit1</t>
  </si>
  <si>
    <t>貴妃椅</t>
  </si>
  <si>
    <t>IVIB5050A</t>
  </si>
  <si>
    <t>VF8</t>
  </si>
  <si>
    <t>VF9</t>
  </si>
  <si>
    <t>N1</t>
  </si>
  <si>
    <t>BW760B</t>
  </si>
  <si>
    <t>綠動椅</t>
  </si>
  <si>
    <t>BW750</t>
  </si>
  <si>
    <t>太和</t>
  </si>
  <si>
    <t>760B</t>
  </si>
  <si>
    <t>協助小天使</t>
  </si>
  <si>
    <t>備註</t>
  </si>
  <si>
    <t>昕卉</t>
  </si>
  <si>
    <t>佳容</t>
  </si>
  <si>
    <t>嘉芬</t>
  </si>
  <si>
    <t>實體通路</t>
  </si>
  <si>
    <t>製表日期:</t>
  </si>
  <si>
    <t>2020/11/01-2020/11/23</t>
  </si>
</sst>
</file>

<file path=xl/styles.xml><?xml version="1.0" encoding="utf-8"?>
<styleSheet xmlns="http://schemas.openxmlformats.org/spreadsheetml/2006/main">
  <numFmts count="4">
    <numFmt numFmtId="176" formatCode="##,##0_ ;\-##,##0\ "/>
    <numFmt numFmtId="177" formatCode="###0"/>
    <numFmt numFmtId="180" formatCode="#,##0;[Red]#,##0"/>
    <numFmt numFmtId="181" formatCode="#,###"/>
  </numFmts>
  <fonts count="5">
    <font>
      <sz val="10"/>
      <name val="Arial"/>
    </font>
    <font>
      <sz val="9"/>
      <name val="細明體"/>
      <family val="3"/>
      <charset val="136"/>
    </font>
    <font>
      <b/>
      <sz val="2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176" fontId="2" fillId="0" borderId="2" xfId="0" applyNumberFormat="1" applyFont="1" applyBorder="1" applyAlignment="1">
      <alignment horizontal="right" vertical="center"/>
    </xf>
    <xf numFmtId="176" fontId="2" fillId="2" borderId="2" xfId="0" applyNumberFormat="1" applyFont="1" applyFill="1" applyBorder="1" applyAlignment="1">
      <alignment horizontal="right" vertical="center"/>
    </xf>
    <xf numFmtId="10" fontId="2" fillId="0" borderId="2" xfId="0" applyNumberFormat="1" applyFont="1" applyBorder="1" applyAlignment="1">
      <alignment horizontal="right" vertical="center"/>
    </xf>
    <xf numFmtId="10" fontId="2" fillId="2" borderId="2" xfId="0" applyNumberFormat="1" applyFont="1" applyFill="1" applyBorder="1" applyAlignment="1">
      <alignment horizontal="right"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10" fontId="2" fillId="0" borderId="2" xfId="0" applyNumberFormat="1" applyFont="1" applyBorder="1" applyAlignment="1">
      <alignment vertical="center"/>
    </xf>
    <xf numFmtId="176" fontId="2" fillId="0" borderId="2" xfId="0" applyNumberFormat="1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10" fontId="2" fillId="2" borderId="2" xfId="0" applyNumberFormat="1" applyFont="1" applyFill="1" applyBorder="1" applyAlignment="1">
      <alignment vertical="center"/>
    </xf>
    <xf numFmtId="176" fontId="2" fillId="2" borderId="2" xfId="0" applyNumberFormat="1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2" fillId="3" borderId="2" xfId="0" applyFont="1" applyFill="1" applyBorder="1" applyAlignment="1">
      <alignment vertical="center"/>
    </xf>
    <xf numFmtId="176" fontId="2" fillId="3" borderId="2" xfId="0" applyNumberFormat="1" applyFont="1" applyFill="1" applyBorder="1" applyAlignment="1">
      <alignment vertical="center"/>
    </xf>
    <xf numFmtId="10" fontId="2" fillId="3" borderId="2" xfId="0" applyNumberFormat="1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180" fontId="2" fillId="0" borderId="2" xfId="0" applyNumberFormat="1" applyFont="1" applyBorder="1" applyAlignment="1">
      <alignment vertical="center"/>
    </xf>
    <xf numFmtId="180" fontId="2" fillId="2" borderId="2" xfId="0" applyNumberFormat="1" applyFont="1" applyFill="1" applyBorder="1" applyAlignment="1">
      <alignment vertical="center"/>
    </xf>
    <xf numFmtId="180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181" fontId="2" fillId="0" borderId="0" xfId="0" applyNumberFormat="1" applyFont="1" applyAlignment="1">
      <alignment vertical="center"/>
    </xf>
    <xf numFmtId="181" fontId="2" fillId="0" borderId="2" xfId="0" applyNumberFormat="1" applyFont="1" applyBorder="1" applyAlignment="1">
      <alignment vertical="center"/>
    </xf>
    <xf numFmtId="181" fontId="2" fillId="2" borderId="2" xfId="0" applyNumberFormat="1" applyFont="1" applyFill="1" applyBorder="1" applyAlignment="1">
      <alignment vertical="center"/>
    </xf>
    <xf numFmtId="181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left" vertical="center"/>
    </xf>
    <xf numFmtId="177" fontId="3" fillId="0" borderId="2" xfId="0" applyNumberFormat="1" applyFont="1" applyBorder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AF14"/>
  <sheetViews>
    <sheetView tabSelected="1" topLeftCell="A9" zoomScale="85" zoomScaleNormal="85" workbookViewId="0">
      <pane xSplit="1" topLeftCell="B1" activePane="topRight" state="frozenSplit"/>
      <selection pane="topRight" activeCell="A16" sqref="A16:XFD16"/>
    </sheetView>
  </sheetViews>
  <sheetFormatPr defaultColWidth="10.28515625" defaultRowHeight="30" customHeight="1"/>
  <cols>
    <col min="1" max="1" width="21.42578125" style="22" customWidth="1"/>
    <col min="2" max="2" width="27.85546875" style="5" customWidth="1"/>
    <col min="3" max="3" width="23" style="5" customWidth="1"/>
    <col min="4" max="4" width="26" style="5" customWidth="1"/>
    <col min="5" max="5" width="29.42578125" style="5" customWidth="1"/>
    <col min="6" max="6" width="32.28515625" style="5" customWidth="1"/>
    <col min="7" max="7" width="25" style="5" customWidth="1"/>
    <col min="8" max="8" width="36.5703125" style="5" hidden="1" customWidth="1"/>
    <col min="9" max="9" width="42.28515625" style="5" hidden="1" customWidth="1"/>
    <col min="10" max="10" width="16.28515625" style="28" customWidth="1"/>
    <col min="11" max="11" width="20.7109375" style="28" customWidth="1"/>
    <col min="12" max="12" width="13.85546875" style="28" hidden="1" customWidth="1"/>
    <col min="13" max="16" width="13" style="28" hidden="1" customWidth="1"/>
    <col min="17" max="17" width="15" style="28" hidden="1" customWidth="1"/>
    <col min="18" max="23" width="13" style="28" hidden="1" customWidth="1"/>
    <col min="24" max="24" width="9.42578125" style="28" customWidth="1"/>
    <col min="25" max="25" width="21.5703125" style="28" hidden="1" customWidth="1"/>
    <col min="26" max="26" width="16.5703125" style="28" customWidth="1"/>
    <col min="27" max="27" width="20.7109375" style="28" customWidth="1"/>
    <col min="28" max="28" width="11.85546875" style="28" customWidth="1"/>
    <col min="29" max="29" width="14" style="28" customWidth="1"/>
    <col min="30" max="30" width="14" style="5" hidden="1" customWidth="1"/>
    <col min="31" max="31" width="24.7109375" style="5" customWidth="1"/>
    <col min="32" max="32" width="23.140625" style="5" customWidth="1"/>
    <col min="33" max="16384" width="10.28515625" style="5"/>
  </cols>
  <sheetData>
    <row r="1" spans="1:32" ht="30" customHeight="1">
      <c r="A1" s="26" t="s">
        <v>45</v>
      </c>
      <c r="B1" s="27">
        <v>44158</v>
      </c>
      <c r="F1" s="6" t="s">
        <v>46</v>
      </c>
      <c r="G1" s="6"/>
    </row>
    <row r="2" spans="1:32" s="34" customFormat="1" ht="30" customHeight="1">
      <c r="A2" s="32" t="s">
        <v>0</v>
      </c>
      <c r="B2" s="21" t="s">
        <v>12</v>
      </c>
      <c r="C2" s="21" t="s">
        <v>13</v>
      </c>
      <c r="D2" s="21" t="s">
        <v>14</v>
      </c>
      <c r="E2" s="21" t="s">
        <v>15</v>
      </c>
      <c r="F2" s="21" t="s">
        <v>16</v>
      </c>
      <c r="G2" s="21" t="s">
        <v>17</v>
      </c>
      <c r="H2" s="21" t="s">
        <v>18</v>
      </c>
      <c r="I2" s="33" t="s">
        <v>19</v>
      </c>
      <c r="J2" s="21" t="s">
        <v>20</v>
      </c>
      <c r="K2" s="21" t="s">
        <v>21</v>
      </c>
      <c r="L2" s="21" t="s">
        <v>22</v>
      </c>
      <c r="M2" s="21" t="s">
        <v>23</v>
      </c>
      <c r="N2" s="21" t="s">
        <v>24</v>
      </c>
      <c r="O2" s="21" t="s">
        <v>25</v>
      </c>
      <c r="P2" s="21" t="s">
        <v>26</v>
      </c>
      <c r="Q2" s="21" t="s">
        <v>27</v>
      </c>
      <c r="R2" s="21" t="s">
        <v>28</v>
      </c>
      <c r="S2" s="21" t="s">
        <v>29</v>
      </c>
      <c r="T2" s="21" t="s">
        <v>30</v>
      </c>
      <c r="U2" s="21" t="s">
        <v>31</v>
      </c>
      <c r="V2" s="21" t="s">
        <v>23</v>
      </c>
      <c r="W2" s="21" t="s">
        <v>32</v>
      </c>
      <c r="X2" s="21" t="s">
        <v>33</v>
      </c>
      <c r="Y2" s="21" t="s">
        <v>34</v>
      </c>
      <c r="Z2" s="21" t="s">
        <v>35</v>
      </c>
      <c r="AA2" s="21" t="s">
        <v>36</v>
      </c>
      <c r="AB2" s="21" t="s">
        <v>37</v>
      </c>
      <c r="AC2" s="21">
        <v>6055</v>
      </c>
      <c r="AD2" s="21" t="s">
        <v>38</v>
      </c>
      <c r="AE2" s="21" t="s">
        <v>39</v>
      </c>
      <c r="AF2" s="21" t="s">
        <v>40</v>
      </c>
    </row>
    <row r="3" spans="1:32" ht="30" customHeight="1">
      <c r="A3" s="23" t="s">
        <v>5</v>
      </c>
      <c r="B3" s="1">
        <v>75715</v>
      </c>
      <c r="C3" s="1">
        <f>F3/21</f>
        <v>66666.666666666672</v>
      </c>
      <c r="D3" s="3">
        <f>B3/C3</f>
        <v>1.1357249999999999</v>
      </c>
      <c r="E3" s="1">
        <v>1007244</v>
      </c>
      <c r="F3" s="18">
        <v>1400000</v>
      </c>
      <c r="G3" s="8">
        <f xml:space="preserve"> E3/F3</f>
        <v>0.71945999999999999</v>
      </c>
      <c r="H3" s="7">
        <f>E3-C3*2</f>
        <v>873910.66666666663</v>
      </c>
      <c r="I3" s="9">
        <f>E3-F3</f>
        <v>-392756</v>
      </c>
      <c r="J3" s="29">
        <v>3</v>
      </c>
      <c r="K3" s="29">
        <v>0</v>
      </c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>
        <v>0</v>
      </c>
      <c r="Y3" s="29"/>
      <c r="Z3" s="29">
        <v>2</v>
      </c>
      <c r="AA3" s="29">
        <v>0</v>
      </c>
      <c r="AB3" s="29">
        <v>0</v>
      </c>
      <c r="AC3" s="29">
        <v>0</v>
      </c>
      <c r="AD3" s="7"/>
      <c r="AE3" s="7" t="s">
        <v>42</v>
      </c>
      <c r="AF3" s="7"/>
    </row>
    <row r="4" spans="1:32" ht="30" customHeight="1">
      <c r="A4" s="23" t="s">
        <v>2</v>
      </c>
      <c r="B4" s="1">
        <v>141941</v>
      </c>
      <c r="C4" s="1">
        <f>F4/21</f>
        <v>57142.857142857145</v>
      </c>
      <c r="D4" s="3">
        <f>B4/C4</f>
        <v>2.4839674999999999</v>
      </c>
      <c r="E4" s="1">
        <v>725308</v>
      </c>
      <c r="F4" s="18">
        <v>1200000</v>
      </c>
      <c r="G4" s="8">
        <f xml:space="preserve"> E4/F4</f>
        <v>0.60442333333333331</v>
      </c>
      <c r="H4" s="7">
        <f>E4-C4*2</f>
        <v>611022.28571428568</v>
      </c>
      <c r="I4" s="9">
        <f>E4-F4</f>
        <v>-474692</v>
      </c>
      <c r="J4" s="29">
        <v>4</v>
      </c>
      <c r="K4" s="29">
        <v>0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>
        <v>0</v>
      </c>
      <c r="Y4" s="29"/>
      <c r="Z4" s="29">
        <v>1</v>
      </c>
      <c r="AA4" s="29">
        <v>8</v>
      </c>
      <c r="AB4" s="29">
        <v>2</v>
      </c>
      <c r="AC4" s="29">
        <v>1</v>
      </c>
      <c r="AD4" s="7"/>
      <c r="AE4" s="7" t="s">
        <v>41</v>
      </c>
      <c r="AF4" s="7"/>
    </row>
    <row r="5" spans="1:32" ht="30" customHeight="1">
      <c r="A5" s="23" t="s">
        <v>6</v>
      </c>
      <c r="B5" s="1">
        <v>9542</v>
      </c>
      <c r="C5" s="1">
        <f>F5/21</f>
        <v>38095.238095238092</v>
      </c>
      <c r="D5" s="3">
        <f>B5/C5</f>
        <v>0.25047750000000002</v>
      </c>
      <c r="E5" s="1">
        <v>499612</v>
      </c>
      <c r="F5" s="18">
        <v>800000</v>
      </c>
      <c r="G5" s="8">
        <f xml:space="preserve"> E5/F5</f>
        <v>0.62451500000000004</v>
      </c>
      <c r="H5" s="7">
        <f>E5-C5*2</f>
        <v>423421.52380952379</v>
      </c>
      <c r="I5" s="9">
        <f>E5-F5</f>
        <v>-300388</v>
      </c>
      <c r="J5" s="29">
        <v>2</v>
      </c>
      <c r="K5" s="29">
        <v>0</v>
      </c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>
        <v>0</v>
      </c>
      <c r="Y5" s="29"/>
      <c r="Z5" s="29">
        <v>0</v>
      </c>
      <c r="AA5" s="29">
        <v>0</v>
      </c>
      <c r="AB5" s="29">
        <v>4</v>
      </c>
      <c r="AC5" s="29">
        <v>0</v>
      </c>
      <c r="AD5" s="7"/>
      <c r="AE5" s="7" t="s">
        <v>41</v>
      </c>
      <c r="AF5" s="7"/>
    </row>
    <row r="6" spans="1:32" s="13" customFormat="1" ht="30" customHeight="1">
      <c r="A6" s="24" t="s">
        <v>11</v>
      </c>
      <c r="B6" s="2">
        <f>SUM(B3:B5)</f>
        <v>227198</v>
      </c>
      <c r="C6" s="2">
        <f>SUM(C3:C5)</f>
        <v>161904.76190476189</v>
      </c>
      <c r="D6" s="4">
        <f>B6/C6</f>
        <v>1.4032817647058824</v>
      </c>
      <c r="E6" s="2">
        <f>SUM(E3:E5)</f>
        <v>2232164</v>
      </c>
      <c r="F6" s="19">
        <f>SUM(F3:F5)</f>
        <v>3400000</v>
      </c>
      <c r="G6" s="11">
        <f xml:space="preserve"> E6/F6</f>
        <v>0.65651882352941171</v>
      </c>
      <c r="H6" s="10">
        <f>E6-C6*2</f>
        <v>1908354.4761904762</v>
      </c>
      <c r="I6" s="12">
        <f>E6-F6</f>
        <v>-1167836</v>
      </c>
      <c r="J6" s="30">
        <f>SUM(J3:J5)</f>
        <v>9</v>
      </c>
      <c r="K6" s="30">
        <f>SUM(K3:K5)</f>
        <v>0</v>
      </c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>
        <f>SUM(X3:X5)</f>
        <v>0</v>
      </c>
      <c r="Y6" s="30"/>
      <c r="Z6" s="30">
        <f>SUM(Z3:Z5)</f>
        <v>3</v>
      </c>
      <c r="AA6" s="30">
        <f>SUM(AA3:AA5)</f>
        <v>8</v>
      </c>
      <c r="AB6" s="30">
        <f>SUM(AB3:AB5)</f>
        <v>6</v>
      </c>
      <c r="AC6" s="30">
        <f>SUM(AC3:AC5)</f>
        <v>1</v>
      </c>
      <c r="AD6" s="10"/>
      <c r="AE6" s="10"/>
      <c r="AF6" s="10"/>
    </row>
    <row r="7" spans="1:32" ht="30" customHeight="1">
      <c r="A7" s="23" t="s">
        <v>4</v>
      </c>
      <c r="B7" s="1">
        <v>27244</v>
      </c>
      <c r="C7" s="1">
        <f>F7/21</f>
        <v>57142.857142857145</v>
      </c>
      <c r="D7" s="3">
        <f>B7/C7</f>
        <v>0.47676999999999997</v>
      </c>
      <c r="E7" s="1">
        <v>1074832</v>
      </c>
      <c r="F7" s="18">
        <v>1200000</v>
      </c>
      <c r="G7" s="8">
        <f xml:space="preserve"> E7/F7</f>
        <v>0.89569333333333334</v>
      </c>
      <c r="H7" s="7">
        <f>E7-C7*2</f>
        <v>960546.28571428568</v>
      </c>
      <c r="I7" s="9">
        <f>E7-F7</f>
        <v>-125168</v>
      </c>
      <c r="J7" s="29">
        <v>3</v>
      </c>
      <c r="K7" s="29">
        <v>0</v>
      </c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>
        <v>0</v>
      </c>
      <c r="Y7" s="29"/>
      <c r="Z7" s="29">
        <v>2</v>
      </c>
      <c r="AA7" s="29">
        <v>0</v>
      </c>
      <c r="AB7" s="29">
        <v>3</v>
      </c>
      <c r="AC7" s="29">
        <v>3</v>
      </c>
      <c r="AD7" s="7"/>
      <c r="AE7" s="7" t="s">
        <v>42</v>
      </c>
      <c r="AF7" s="7"/>
    </row>
    <row r="8" spans="1:32" ht="30" customHeight="1">
      <c r="A8" s="23" t="s">
        <v>7</v>
      </c>
      <c r="B8" s="1">
        <v>40444</v>
      </c>
      <c r="C8" s="1">
        <f>F8/21</f>
        <v>38095.238095238092</v>
      </c>
      <c r="D8" s="3">
        <f>B8/C8</f>
        <v>1.061655</v>
      </c>
      <c r="E8" s="1">
        <v>463294</v>
      </c>
      <c r="F8" s="18">
        <v>800000</v>
      </c>
      <c r="G8" s="8">
        <f xml:space="preserve"> E8/F8</f>
        <v>0.57911749999999995</v>
      </c>
      <c r="H8" s="7">
        <f>E8-C8*2</f>
        <v>387103.52380952379</v>
      </c>
      <c r="I8" s="9">
        <f>E8-F8</f>
        <v>-336706</v>
      </c>
      <c r="J8" s="29">
        <v>2</v>
      </c>
      <c r="K8" s="29">
        <v>3</v>
      </c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>
        <v>0</v>
      </c>
      <c r="Y8" s="29"/>
      <c r="Z8" s="29">
        <v>1</v>
      </c>
      <c r="AA8" s="29">
        <v>0</v>
      </c>
      <c r="AB8" s="29">
        <v>1</v>
      </c>
      <c r="AC8" s="29">
        <v>0</v>
      </c>
      <c r="AD8" s="7"/>
      <c r="AE8" s="7" t="s">
        <v>42</v>
      </c>
      <c r="AF8" s="7"/>
    </row>
    <row r="9" spans="1:32" s="13" customFormat="1" ht="30" customHeight="1">
      <c r="A9" s="24" t="s">
        <v>10</v>
      </c>
      <c r="B9" s="2">
        <f>SUM(B7:B8)</f>
        <v>67688</v>
      </c>
      <c r="C9" s="2">
        <f>SUM(C7:C8)</f>
        <v>95238.095238095237</v>
      </c>
      <c r="D9" s="4">
        <f>B9/C9</f>
        <v>0.71072400000000002</v>
      </c>
      <c r="E9" s="2">
        <f>SUM(E7:E8)</f>
        <v>1538126</v>
      </c>
      <c r="F9" s="19">
        <f>SUM(F7:F8)</f>
        <v>2000000</v>
      </c>
      <c r="G9" s="11">
        <f xml:space="preserve"> E9/F9</f>
        <v>0.76906300000000005</v>
      </c>
      <c r="H9" s="10">
        <f>E9-C9*2</f>
        <v>1347649.8095238095</v>
      </c>
      <c r="I9" s="12">
        <f>E9-F9</f>
        <v>-461874</v>
      </c>
      <c r="J9" s="30">
        <f>SUM(J7:J8)</f>
        <v>5</v>
      </c>
      <c r="K9" s="30">
        <f>SUM(K7:K8)</f>
        <v>3</v>
      </c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>
        <f>SUM(X7:X8)</f>
        <v>0</v>
      </c>
      <c r="Y9" s="30"/>
      <c r="Z9" s="30">
        <f>SUM(Z7:Z8)</f>
        <v>3</v>
      </c>
      <c r="AA9" s="30">
        <f>SUM(AA7:AA8)</f>
        <v>0</v>
      </c>
      <c r="AB9" s="30">
        <f>SUM(AB7:AB8)</f>
        <v>4</v>
      </c>
      <c r="AC9" s="30">
        <f>SUM(AC7:AC8)</f>
        <v>3</v>
      </c>
      <c r="AD9" s="10"/>
      <c r="AE9" s="10"/>
      <c r="AF9" s="10"/>
    </row>
    <row r="10" spans="1:32" ht="30" customHeight="1">
      <c r="A10" s="23" t="s">
        <v>1</v>
      </c>
      <c r="B10" s="1">
        <v>7671</v>
      </c>
      <c r="C10" s="1">
        <f>F10/21</f>
        <v>9523.8095238095229</v>
      </c>
      <c r="D10" s="3">
        <f>B10/C10</f>
        <v>0.80545500000000003</v>
      </c>
      <c r="E10" s="1">
        <v>121641</v>
      </c>
      <c r="F10" s="18">
        <v>200000</v>
      </c>
      <c r="G10" s="8">
        <f xml:space="preserve"> E10/F10</f>
        <v>0.608205</v>
      </c>
      <c r="H10" s="7">
        <f>E10-C10*2</f>
        <v>102593.38095238095</v>
      </c>
      <c r="I10" s="9">
        <f>E10-F10</f>
        <v>-78359</v>
      </c>
      <c r="J10" s="29">
        <v>0</v>
      </c>
      <c r="K10" s="29">
        <v>0</v>
      </c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>
        <v>0</v>
      </c>
      <c r="Y10" s="29"/>
      <c r="Z10" s="29">
        <v>0</v>
      </c>
      <c r="AA10" s="29">
        <v>0</v>
      </c>
      <c r="AB10" s="29">
        <v>0</v>
      </c>
      <c r="AC10" s="29">
        <v>0</v>
      </c>
      <c r="AD10" s="7"/>
      <c r="AE10" s="7"/>
      <c r="AF10" s="7"/>
    </row>
    <row r="11" spans="1:32" ht="30" customHeight="1">
      <c r="A11" s="23" t="s">
        <v>3</v>
      </c>
      <c r="B11" s="1">
        <v>44801</v>
      </c>
      <c r="C11" s="1">
        <f>F11/21</f>
        <v>47619.047619047618</v>
      </c>
      <c r="D11" s="3">
        <f>B11/C11</f>
        <v>0.94082100000000002</v>
      </c>
      <c r="E11" s="1">
        <v>735474</v>
      </c>
      <c r="F11" s="18">
        <v>1000000</v>
      </c>
      <c r="G11" s="8">
        <f xml:space="preserve"> E11/F11</f>
        <v>0.73547399999999996</v>
      </c>
      <c r="H11" s="7">
        <f>E11-C11*2</f>
        <v>640235.90476190473</v>
      </c>
      <c r="I11" s="9">
        <f>E11-F11</f>
        <v>-264526</v>
      </c>
      <c r="J11" s="29">
        <v>1</v>
      </c>
      <c r="K11" s="29">
        <v>0</v>
      </c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>
        <v>0</v>
      </c>
      <c r="Y11" s="29"/>
      <c r="Z11" s="29">
        <v>2</v>
      </c>
      <c r="AA11" s="29">
        <v>0</v>
      </c>
      <c r="AB11" s="29">
        <v>1</v>
      </c>
      <c r="AC11" s="29">
        <v>0</v>
      </c>
      <c r="AD11" s="7"/>
      <c r="AE11" s="7" t="s">
        <v>43</v>
      </c>
      <c r="AF11" s="7"/>
    </row>
    <row r="12" spans="1:32" ht="30" customHeight="1">
      <c r="A12" s="23" t="s">
        <v>8</v>
      </c>
      <c r="B12" s="1">
        <v>1268</v>
      </c>
      <c r="C12" s="1">
        <f>F12/21</f>
        <v>14285.714285714286</v>
      </c>
      <c r="D12" s="3">
        <f>B12/C12</f>
        <v>8.8759999999999992E-2</v>
      </c>
      <c r="E12" s="1">
        <v>161131</v>
      </c>
      <c r="F12" s="18">
        <v>300000</v>
      </c>
      <c r="G12" s="8">
        <f xml:space="preserve"> E12/F12</f>
        <v>0.53710333333333338</v>
      </c>
      <c r="H12" s="7">
        <f>E12-C12*2</f>
        <v>132559.57142857142</v>
      </c>
      <c r="I12" s="9">
        <f>E12-F12</f>
        <v>-138869</v>
      </c>
      <c r="J12" s="29">
        <v>0</v>
      </c>
      <c r="K12" s="29">
        <v>0</v>
      </c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>
        <v>0</v>
      </c>
      <c r="Y12" s="29"/>
      <c r="Z12" s="29">
        <v>0</v>
      </c>
      <c r="AA12" s="29">
        <v>0</v>
      </c>
      <c r="AB12" s="29">
        <v>2</v>
      </c>
      <c r="AC12" s="29">
        <v>0</v>
      </c>
      <c r="AD12" s="7"/>
      <c r="AE12" s="7"/>
      <c r="AF12" s="7"/>
    </row>
    <row r="13" spans="1:32" s="13" customFormat="1" ht="30" customHeight="1">
      <c r="A13" s="24" t="s">
        <v>9</v>
      </c>
      <c r="B13" s="2">
        <f>SUM(B10:B12)</f>
        <v>53740</v>
      </c>
      <c r="C13" s="2">
        <f>SUM(C10:C12)</f>
        <v>71428.571428571435</v>
      </c>
      <c r="D13" s="4">
        <f>B13/C13</f>
        <v>0.75235999999999992</v>
      </c>
      <c r="E13" s="2">
        <f>SUM(E10:E12)</f>
        <v>1018246</v>
      </c>
      <c r="F13" s="19">
        <f>SUM(F10:F12)</f>
        <v>1500000</v>
      </c>
      <c r="G13" s="11">
        <f xml:space="preserve"> E13/F13</f>
        <v>0.67883066666666669</v>
      </c>
      <c r="H13" s="10">
        <f>E13-C13*2</f>
        <v>875388.85714285716</v>
      </c>
      <c r="I13" s="12">
        <f>E13-F13</f>
        <v>-481754</v>
      </c>
      <c r="J13" s="30">
        <f>SUM(J10:J12)</f>
        <v>1</v>
      </c>
      <c r="K13" s="30">
        <f>SUM(K10:K12)</f>
        <v>0</v>
      </c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>
        <f>SUM(X10:X12)</f>
        <v>0</v>
      </c>
      <c r="Y13" s="30"/>
      <c r="Z13" s="30">
        <f>SUM(Z10:Z12)</f>
        <v>2</v>
      </c>
      <c r="AA13" s="30">
        <f>SUM(AA10:AA12)</f>
        <v>0</v>
      </c>
      <c r="AB13" s="30">
        <f>SUM(AB10:AB12)</f>
        <v>3</v>
      </c>
      <c r="AC13" s="30">
        <f>SUM(AC10:AC12)</f>
        <v>0</v>
      </c>
      <c r="AD13" s="10"/>
      <c r="AE13" s="10"/>
      <c r="AF13" s="10"/>
    </row>
    <row r="14" spans="1:32" s="17" customFormat="1" ht="30" customHeight="1">
      <c r="A14" s="25" t="s">
        <v>44</v>
      </c>
      <c r="B14" s="15">
        <f>B6+B9+B13</f>
        <v>348626</v>
      </c>
      <c r="C14" s="15">
        <f>C6+C9+C13</f>
        <v>328571.42857142858</v>
      </c>
      <c r="D14" s="16">
        <f>B14/C14</f>
        <v>1.061035652173913</v>
      </c>
      <c r="E14" s="15">
        <f>E6+E9+E13</f>
        <v>4788536</v>
      </c>
      <c r="F14" s="20">
        <f>F6+F9+F13</f>
        <v>6900000</v>
      </c>
      <c r="G14" s="16">
        <f>E14/F14</f>
        <v>0.69399072463768119</v>
      </c>
      <c r="H14" s="14"/>
      <c r="I14" s="14"/>
      <c r="J14" s="31">
        <f>J6+J9+J13</f>
        <v>15</v>
      </c>
      <c r="K14" s="31">
        <f>K6+K9+K13</f>
        <v>3</v>
      </c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>
        <f>X6+X9+X13</f>
        <v>0</v>
      </c>
      <c r="Y14" s="31"/>
      <c r="Z14" s="31">
        <f>Z6+Z9+Z13</f>
        <v>8</v>
      </c>
      <c r="AA14" s="31">
        <f>AA6+AA9+AA13</f>
        <v>8</v>
      </c>
      <c r="AB14" s="31">
        <f>AB6+AB9+AB13</f>
        <v>13</v>
      </c>
      <c r="AC14" s="31">
        <f>AC6+AC9+AC13</f>
        <v>4</v>
      </c>
      <c r="AD14" s="14"/>
      <c r="AE14" s="14"/>
      <c r="AF14" s="14"/>
    </row>
  </sheetData>
  <sortState ref="A11:AE13">
    <sortCondition ref="A1"/>
  </sortState>
  <mergeCells count="1">
    <mergeCell ref="F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周立修</cp:lastModifiedBy>
  <dcterms:created xsi:type="dcterms:W3CDTF">2020-11-23T09:45:04Z</dcterms:created>
  <dcterms:modified xsi:type="dcterms:W3CDTF">2020-11-23T09:45:05Z</dcterms:modified>
</cp:coreProperties>
</file>