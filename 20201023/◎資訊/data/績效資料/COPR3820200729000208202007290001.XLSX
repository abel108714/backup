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120" windowWidth="17040" windowHeight="10560" activeTab="1"/>
  </bookViews>
  <sheets>
    <sheet name="第 1 頁" sheetId="1" r:id="rId1"/>
    <sheet name="Sheet1" sheetId="2" r:id="rId2"/>
  </sheets>
  <calcPr calcId="125725"/>
</workbook>
</file>

<file path=xl/calcChain.xml><?xml version="1.0" encoding="utf-8"?>
<calcChain xmlns="http://schemas.openxmlformats.org/spreadsheetml/2006/main">
  <c r="D7" i="2"/>
  <c r="C7"/>
  <c r="B7"/>
  <c r="F7"/>
  <c r="C5"/>
  <c r="D5" s="1"/>
  <c r="B5"/>
  <c r="F5"/>
  <c r="D6"/>
  <c r="D4"/>
  <c r="D3"/>
  <c r="F19" i="1" l="1"/>
  <c r="E19"/>
  <c r="D19"/>
  <c r="D22" s="1"/>
  <c r="C19"/>
  <c r="F15"/>
  <c r="E15"/>
  <c r="D15"/>
  <c r="C15"/>
  <c r="C22"/>
  <c r="F9"/>
  <c r="F7"/>
  <c r="F17"/>
  <c r="F6"/>
  <c r="F8"/>
  <c r="F16"/>
  <c r="F11"/>
  <c r="F5"/>
  <c r="F10"/>
  <c r="F18"/>
</calcChain>
</file>

<file path=xl/sharedStrings.xml><?xml version="1.0" encoding="utf-8"?>
<sst xmlns="http://schemas.openxmlformats.org/spreadsheetml/2006/main" count="53" uniqueCount="40">
  <si>
    <t>業務員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</si>
  <si>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</si>
  <si>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</si>
  <si>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</si>
  <si>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</si>
  <si>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</si>
  <si>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</si>
  <si>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</si>
  <si>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</si>
  <si>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</si>
  <si>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</si>
  <si>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</si>
  <si>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</si>
  <si>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</si>
  <si>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</si>
  <si>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</si>
  <si>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行政</t>
  </si>
  <si>
    <t>網電</t>
  </si>
  <si>
    <t>南區</t>
  </si>
  <si>
    <t>北區</t>
  </si>
  <si>
    <t>外銷</t>
  </si>
  <si>
    <t>流通</t>
  </si>
  <si>
    <t>中區</t>
  </si>
  <si>
    <t>部門</t>
  </si>
  <si>
    <t>當日業績</t>
  </si>
  <si>
    <t>總累計績效</t>
  </si>
  <si>
    <t>目標</t>
  </si>
  <si>
    <t>(仟元)</t>
  </si>
  <si>
    <t>達成率</t>
  </si>
  <si>
    <t>責任者</t>
    <phoneticPr fontId="4" type="noConversion"/>
  </si>
  <si>
    <t>開發</t>
  </si>
  <si>
    <t>小計：</t>
  </si>
  <si>
    <t>網通</t>
  </si>
  <si>
    <t>網企</t>
  </si>
  <si>
    <t>07月銷貨淨額</t>
  </si>
  <si>
    <t>07月目標</t>
  </si>
  <si>
    <t>達成比</t>
  </si>
  <si>
    <t>尚需努力的數字</t>
  </si>
  <si>
    <t>7/28當日績效</t>
  </si>
  <si>
    <t>網通部</t>
    <phoneticPr fontId="4" type="noConversion"/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</si>
</sst>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14">
    <font>
      <sz val="10"/>
      <name val="Arial"/>
    </font>
    <font>
      <sz val="10"/>
      <name val="SimSun"/>
      <charset val="134"/>
    </font>
    <font>
      <sz val="12"/>
      <name val="SimSun"/>
      <charset val="134"/>
    </font>
    <font>
      <sz val="12"/>
      <name val="新細明體"/>
      <family val="1"/>
      <charset val="136"/>
      <scheme val="minor"/>
    </font>
    <font>
      <sz val="9"/>
      <name val="細明體"/>
      <family val="3"/>
      <charset val="136"/>
    </font>
    <font>
      <b/>
      <sz val="16"/>
      <color rgb="FF7030A0"/>
      <name val="SimSun"/>
      <charset val="134"/>
    </font>
    <font>
      <sz val="14"/>
      <name val="SimSun"/>
      <charset val="134"/>
    </font>
    <font>
      <b/>
      <sz val="12"/>
      <color rgb="FFFF0000"/>
      <name val="SimSun"/>
      <charset val="134"/>
    </font>
    <font>
      <b/>
      <sz val="10"/>
      <color rgb="FFFF0000"/>
      <name val="SimSun"/>
      <charset val="134"/>
    </font>
    <font>
      <b/>
      <sz val="10"/>
      <color rgb="FFFF0000"/>
      <name val="Arial"/>
      <family val="2"/>
    </font>
    <font>
      <sz val="22"/>
      <name val="微軟正黑體"/>
      <family val="2"/>
      <charset val="136"/>
    </font>
    <font>
      <sz val="22"/>
      <color rgb="FFFF000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12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0" fontId="2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/>
    </xf>
    <xf numFmtId="180" fontId="7" fillId="0" borderId="0" xfId="0" applyNumberFormat="1" applyFont="1" applyBorder="1" applyAlignment="1">
      <alignment horizontal="right" vertical="center"/>
    </xf>
    <xf numFmtId="0" fontId="7" fillId="0" borderId="0" xfId="0" applyFont="1"/>
    <xf numFmtId="10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NumberFormat="1" applyFont="1"/>
    <xf numFmtId="0" fontId="11" fillId="0" borderId="0" xfId="0" applyFont="1"/>
    <xf numFmtId="0" fontId="11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Border="1" applyAlignment="1">
      <alignment horizontal="center" vertical="center"/>
    </xf>
    <xf numFmtId="180" fontId="12" fillId="0" borderId="0" xfId="0" applyNumberFormat="1" applyFont="1" applyBorder="1" applyAlignment="1">
      <alignment horizontal="right" vertical="center"/>
    </xf>
    <xf numFmtId="10" fontId="12" fillId="0" borderId="0" xfId="0" applyNumberFormat="1" applyFont="1"/>
    <xf numFmtId="0" fontId="13" fillId="0" borderId="0" xfId="0" applyFont="1"/>
  </cellXfs>
  <cellStyles count="1">
    <cellStyle name="一般" xfId="0" builtinId="0"/>
  </cellStyles>
  <dxfs count="4"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23"/>
  <sheetViews>
    <sheetView workbookViewId="0">
      <selection activeCell="A19" sqref="A19:XFD19"/>
    </sheetView>
  </sheetViews>
  <sheetFormatPr defaultColWidth="9.140625" defaultRowHeight="14.25"/>
  <cols>
    <col min="1" max="1" width="8.7109375" style="3" customWidth="1"/>
    <col min="2" max="2" width="8.7109375" style="13" customWidth="1"/>
    <col min="3" max="6" width="16.7109375" style="1" customWidth="1"/>
    <col min="7" max="16384" width="9.140625" style="1"/>
  </cols>
  <sheetData>
    <row r="1" spans="1:12" ht="15">
      <c r="H1"/>
      <c r="I1"/>
      <c r="J1"/>
      <c r="K1"/>
      <c r="L1"/>
    </row>
    <row r="2" spans="1:12" ht="15">
      <c r="H2"/>
      <c r="I2"/>
      <c r="J2"/>
      <c r="K2"/>
      <c r="L2"/>
    </row>
    <row r="3" spans="1:12" ht="20.25">
      <c r="A3" s="8">
        <v>20200729</v>
      </c>
      <c r="B3" s="9"/>
      <c r="C3" s="6" t="s">
        <v>24</v>
      </c>
      <c r="D3" s="6" t="s">
        <v>25</v>
      </c>
      <c r="E3" s="5" t="s">
        <v>26</v>
      </c>
      <c r="F3" s="4" t="s">
        <v>28</v>
      </c>
      <c r="H3"/>
      <c r="I3"/>
      <c r="J3"/>
      <c r="K3"/>
      <c r="L3"/>
    </row>
    <row r="4" spans="1:12" ht="18.75">
      <c r="A4" s="10" t="s">
        <v>23</v>
      </c>
      <c r="B4" s="11" t="s">
        <v>29</v>
      </c>
      <c r="C4" s="6"/>
      <c r="D4" s="6"/>
      <c r="E4" s="5" t="s">
        <v>27</v>
      </c>
      <c r="F4" s="4"/>
      <c r="H4"/>
      <c r="I4"/>
      <c r="J4"/>
      <c r="K4"/>
      <c r="L4"/>
    </row>
    <row r="5" spans="1:12" ht="15">
      <c r="A5" s="3" t="s">
        <v>19</v>
      </c>
      <c r="B5" s="14" t="s">
        <v>5</v>
      </c>
      <c r="C5" s="12">
        <v>56655</v>
      </c>
      <c r="D5" s="12">
        <v>611985</v>
      </c>
      <c r="E5" s="2">
        <v>1150</v>
      </c>
      <c r="F5" s="15">
        <f>ROUND(D5/E5/10,2)%</f>
        <v>0.53220000000000001</v>
      </c>
      <c r="H5"/>
      <c r="I5"/>
      <c r="J5"/>
      <c r="K5"/>
      <c r="L5"/>
    </row>
    <row r="6" spans="1:12" ht="15">
      <c r="A6" s="3" t="s">
        <v>19</v>
      </c>
      <c r="B6" s="14" t="s">
        <v>11</v>
      </c>
      <c r="C6" s="12">
        <v>103745</v>
      </c>
      <c r="D6" s="12">
        <v>1658850</v>
      </c>
      <c r="E6" s="2">
        <v>1450</v>
      </c>
      <c r="F6" s="15">
        <f>ROUND(D6/E6/10,2)%</f>
        <v>1.1440000000000001</v>
      </c>
      <c r="H6"/>
      <c r="I6"/>
      <c r="J6"/>
      <c r="K6"/>
      <c r="L6"/>
    </row>
    <row r="7" spans="1:12" ht="15">
      <c r="A7" s="3" t="s">
        <v>19</v>
      </c>
      <c r="B7" s="14" t="s">
        <v>13</v>
      </c>
      <c r="C7" s="12">
        <v>307919</v>
      </c>
      <c r="D7" s="12">
        <v>1056503</v>
      </c>
      <c r="E7" s="2">
        <v>850</v>
      </c>
      <c r="F7" s="15">
        <f>ROUND(D7/E7/10,2)%</f>
        <v>1.2429000000000001</v>
      </c>
      <c r="H7"/>
      <c r="I7"/>
      <c r="J7"/>
      <c r="K7"/>
      <c r="L7"/>
    </row>
    <row r="8" spans="1:12" ht="15">
      <c r="A8" s="3" t="s">
        <v>22</v>
      </c>
      <c r="B8" s="14" t="s">
        <v>9</v>
      </c>
      <c r="C8" s="12">
        <v>67195</v>
      </c>
      <c r="D8" s="12">
        <v>836467</v>
      </c>
      <c r="E8" s="2">
        <v>1300</v>
      </c>
      <c r="F8" s="15">
        <f>ROUND(D8/E8/10,2)%</f>
        <v>0.64340000000000008</v>
      </c>
      <c r="H8"/>
      <c r="I8"/>
      <c r="J8"/>
      <c r="K8"/>
      <c r="L8"/>
    </row>
    <row r="9" spans="1:12" ht="15">
      <c r="A9" s="3" t="s">
        <v>22</v>
      </c>
      <c r="B9" s="14" t="s">
        <v>14</v>
      </c>
      <c r="C9" s="12">
        <v>34188</v>
      </c>
      <c r="D9" s="12">
        <v>614814</v>
      </c>
      <c r="E9" s="2">
        <v>850</v>
      </c>
      <c r="F9" s="15">
        <f>ROUND(D9/E9/10,2)%</f>
        <v>0.72329999999999994</v>
      </c>
      <c r="H9"/>
      <c r="I9"/>
      <c r="J9"/>
      <c r="K9"/>
      <c r="L9"/>
    </row>
    <row r="10" spans="1:12" ht="15">
      <c r="A10" s="3" t="s">
        <v>18</v>
      </c>
      <c r="B10" s="14" t="s">
        <v>3</v>
      </c>
      <c r="C10" s="12">
        <v>3869</v>
      </c>
      <c r="D10" s="12">
        <v>211749</v>
      </c>
      <c r="E10" s="2">
        <v>250</v>
      </c>
      <c r="F10" s="15">
        <f>ROUND(D10/E10/10,2)%</f>
        <v>0.84699999999999998</v>
      </c>
      <c r="H10"/>
      <c r="I10"/>
      <c r="J10"/>
      <c r="K10"/>
      <c r="L10"/>
    </row>
    <row r="11" spans="1:12" ht="15">
      <c r="A11" s="3" t="s">
        <v>18</v>
      </c>
      <c r="B11" s="14" t="s">
        <v>6</v>
      </c>
      <c r="C11" s="12">
        <v>17798</v>
      </c>
      <c r="D11" s="12">
        <v>946120</v>
      </c>
      <c r="E11" s="2">
        <v>1650</v>
      </c>
      <c r="F11" s="15">
        <f>ROUND(D11/E11/10,2)%</f>
        <v>0.57340000000000002</v>
      </c>
      <c r="H11"/>
      <c r="I11"/>
      <c r="J11"/>
      <c r="K11"/>
      <c r="L11"/>
    </row>
    <row r="12" spans="1:12" ht="15">
      <c r="A12" s="3" t="s">
        <v>20</v>
      </c>
      <c r="B12" s="14" t="s">
        <v>7</v>
      </c>
      <c r="C12" s="12">
        <v>0</v>
      </c>
      <c r="D12" s="12">
        <v>1860248</v>
      </c>
      <c r="E12" s="2">
        <v>0</v>
      </c>
      <c r="F12" s="15">
        <v>0</v>
      </c>
      <c r="H12"/>
      <c r="I12"/>
      <c r="J12"/>
      <c r="K12"/>
      <c r="L12"/>
    </row>
    <row r="13" spans="1:12" ht="15">
      <c r="A13" s="3" t="s">
        <v>20</v>
      </c>
      <c r="B13" s="14" t="s">
        <v>10</v>
      </c>
      <c r="C13" s="12">
        <v>18429</v>
      </c>
      <c r="D13" s="12">
        <v>598064</v>
      </c>
      <c r="E13" s="2">
        <v>0</v>
      </c>
      <c r="F13" s="15">
        <v>0</v>
      </c>
      <c r="H13"/>
      <c r="I13"/>
      <c r="J13"/>
      <c r="K13"/>
      <c r="L13"/>
    </row>
    <row r="14" spans="1:12" ht="15">
      <c r="A14" s="3" t="s">
        <v>20</v>
      </c>
      <c r="B14" s="14" t="s">
        <v>15</v>
      </c>
      <c r="C14" s="12">
        <v>0</v>
      </c>
      <c r="D14" s="12">
        <v>5987</v>
      </c>
      <c r="E14" s="2">
        <v>0</v>
      </c>
      <c r="F14" s="15">
        <v>0</v>
      </c>
      <c r="H14"/>
      <c r="I14"/>
      <c r="J14"/>
      <c r="K14"/>
      <c r="L14"/>
    </row>
    <row r="15" spans="1:12" s="23" customFormat="1" ht="15">
      <c r="A15" s="18" t="s">
        <v>30</v>
      </c>
      <c r="B15" s="19" t="s">
        <v>31</v>
      </c>
      <c r="C15" s="20">
        <f>SUM(C5:C14)</f>
        <v>609798</v>
      </c>
      <c r="D15" s="20">
        <f>SUM(D5:D14)</f>
        <v>8400787</v>
      </c>
      <c r="E15" s="21">
        <f>SUM(E5:E14)</f>
        <v>7500</v>
      </c>
      <c r="F15" s="22">
        <f>ROUND(D15/E15/10,2)%</f>
        <v>1.1201000000000001</v>
      </c>
      <c r="H15" s="24"/>
      <c r="I15" s="24"/>
      <c r="J15" s="24"/>
      <c r="K15" s="24"/>
      <c r="L15" s="24"/>
    </row>
    <row r="16" spans="1:12" ht="15">
      <c r="A16" s="3" t="s">
        <v>21</v>
      </c>
      <c r="B16" s="14" t="s">
        <v>8</v>
      </c>
      <c r="C16" s="12">
        <v>5350</v>
      </c>
      <c r="D16" s="12">
        <v>1604697</v>
      </c>
      <c r="E16" s="2">
        <v>2300</v>
      </c>
      <c r="F16" s="15">
        <f>ROUND(D16/E16/10,2)%</f>
        <v>0.69769999999999999</v>
      </c>
      <c r="H16"/>
      <c r="I16"/>
      <c r="J16"/>
      <c r="K16"/>
      <c r="L16"/>
    </row>
    <row r="17" spans="1:12" ht="15">
      <c r="A17" s="3" t="s">
        <v>21</v>
      </c>
      <c r="B17" s="14" t="s">
        <v>12</v>
      </c>
      <c r="C17" s="12">
        <v>5876</v>
      </c>
      <c r="D17" s="12">
        <v>188863</v>
      </c>
      <c r="E17" s="2">
        <v>800</v>
      </c>
      <c r="F17" s="15">
        <f>ROUND(D17/E17/10,2)%</f>
        <v>0.2361</v>
      </c>
      <c r="H17"/>
      <c r="I17"/>
      <c r="J17"/>
      <c r="K17"/>
      <c r="L17"/>
    </row>
    <row r="18" spans="1:12" ht="15">
      <c r="A18" s="3" t="s">
        <v>17</v>
      </c>
      <c r="B18" s="14" t="s">
        <v>2</v>
      </c>
      <c r="C18" s="12">
        <v>15656</v>
      </c>
      <c r="D18" s="12">
        <v>2302172</v>
      </c>
      <c r="E18" s="2">
        <v>4300</v>
      </c>
      <c r="F18" s="15">
        <f>ROUND(D18/E18/10,2)%</f>
        <v>0.53539999999999999</v>
      </c>
      <c r="H18"/>
      <c r="I18"/>
      <c r="J18"/>
      <c r="K18"/>
      <c r="L18"/>
    </row>
    <row r="19" spans="1:12" s="23" customFormat="1" ht="15">
      <c r="A19" s="18" t="s">
        <v>32</v>
      </c>
      <c r="B19" s="19" t="s">
        <v>31</v>
      </c>
      <c r="C19" s="20">
        <f>SUM(C16:C18)</f>
        <v>26882</v>
      </c>
      <c r="D19" s="20">
        <f>SUM(D16:D18)</f>
        <v>4095732</v>
      </c>
      <c r="E19" s="21">
        <f>SUM(E16:E18)</f>
        <v>7400</v>
      </c>
      <c r="F19" s="22">
        <f>ROUND(D19/E19/10,2)%</f>
        <v>0.55349999999999999</v>
      </c>
      <c r="H19" s="24"/>
      <c r="I19" s="24"/>
      <c r="J19" s="24"/>
      <c r="K19" s="24"/>
      <c r="L19" s="24"/>
    </row>
    <row r="20" spans="1:12" ht="15">
      <c r="A20" s="3" t="s">
        <v>16</v>
      </c>
      <c r="B20" s="14" t="s">
        <v>1</v>
      </c>
      <c r="C20" s="12">
        <v>3033</v>
      </c>
      <c r="D20" s="12">
        <v>186779</v>
      </c>
      <c r="E20" s="2">
        <v>0</v>
      </c>
      <c r="F20" s="15">
        <v>0</v>
      </c>
      <c r="H20"/>
      <c r="I20"/>
      <c r="J20"/>
      <c r="K20"/>
      <c r="L20"/>
    </row>
    <row r="21" spans="1:12" ht="15">
      <c r="A21" s="3" t="s">
        <v>16</v>
      </c>
      <c r="B21" s="14" t="s">
        <v>4</v>
      </c>
      <c r="C21" s="12">
        <v>209524</v>
      </c>
      <c r="D21" s="12">
        <v>2305023</v>
      </c>
      <c r="E21" s="2">
        <v>0</v>
      </c>
      <c r="F21" s="15">
        <v>0</v>
      </c>
      <c r="H21"/>
      <c r="I21"/>
      <c r="J21"/>
      <c r="K21"/>
      <c r="L21"/>
    </row>
    <row r="22" spans="1:12" ht="15">
      <c r="B22" s="14"/>
      <c r="C22" s="12">
        <f>SUM(C5:C21)</f>
        <v>1485917</v>
      </c>
      <c r="D22" s="12">
        <f>SUM(D5:D21)</f>
        <v>27484840</v>
      </c>
      <c r="H22"/>
      <c r="I22"/>
      <c r="J22"/>
      <c r="K22"/>
      <c r="L22"/>
    </row>
    <row r="23" spans="1:12">
      <c r="B23" s="16"/>
      <c r="C23" s="17"/>
      <c r="D23" s="7"/>
    </row>
  </sheetData>
  <sortState ref="A5:F19">
    <sortCondition ref="A5"/>
  </sortState>
  <mergeCells count="4">
    <mergeCell ref="A3:B3"/>
    <mergeCell ref="C3:C4"/>
    <mergeCell ref="D3:D4"/>
    <mergeCell ref="F3:F4"/>
  </mergeCells>
  <phoneticPr fontId="4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Q13"/>
  <sheetViews>
    <sheetView tabSelected="1" zoomScale="69" zoomScaleNormal="69" workbookViewId="0">
      <selection activeCell="C4" sqref="C4"/>
    </sheetView>
  </sheetViews>
  <sheetFormatPr defaultColWidth="9.140625" defaultRowHeight="27.75"/>
  <cols>
    <col min="1" max="1" width="17" style="25" customWidth="1"/>
    <col min="2" max="2" width="30.7109375" style="25" customWidth="1"/>
    <col min="3" max="3" width="28.28515625" style="25" customWidth="1"/>
    <col min="4" max="4" width="20.42578125" style="25" customWidth="1"/>
    <col min="5" max="5" width="35.5703125" style="25" customWidth="1"/>
    <col min="6" max="6" width="33.28515625" style="25" customWidth="1"/>
    <col min="7" max="7" width="9.140625" style="25"/>
    <col min="8" max="17" width="9.140625" style="26"/>
    <col min="18" max="16384" width="9.140625" style="25"/>
  </cols>
  <sheetData>
    <row r="1" spans="1:17" ht="28.5">
      <c r="A1" s="29"/>
      <c r="B1" s="30"/>
      <c r="C1" s="30"/>
      <c r="D1" s="30"/>
      <c r="E1" s="30"/>
      <c r="F1" s="30"/>
    </row>
    <row r="2" spans="1:17" ht="28.5">
      <c r="A2" s="29" t="s">
        <v>0</v>
      </c>
      <c r="B2" s="30" t="s">
        <v>34</v>
      </c>
      <c r="C2" s="30" t="s">
        <v>35</v>
      </c>
      <c r="D2" s="30" t="s">
        <v>36</v>
      </c>
      <c r="E2" s="30" t="s">
        <v>37</v>
      </c>
      <c r="F2" s="30" t="s">
        <v>38</v>
      </c>
    </row>
    <row r="3" spans="1:17" ht="28.5">
      <c r="A3" s="31" t="s">
        <v>8</v>
      </c>
      <c r="B3" s="32">
        <v>1604697</v>
      </c>
      <c r="C3" s="30">
        <v>2300</v>
      </c>
      <c r="D3" s="33">
        <f>ROUND(B3/C3/10,2)%</f>
        <v>0.69769999999999999</v>
      </c>
      <c r="E3" s="30"/>
      <c r="F3" s="32">
        <v>5350</v>
      </c>
    </row>
    <row r="4" spans="1:17" ht="28.5">
      <c r="A4" s="31" t="s">
        <v>12</v>
      </c>
      <c r="B4" s="32">
        <v>188863</v>
      </c>
      <c r="C4" s="30">
        <v>800</v>
      </c>
      <c r="D4" s="33">
        <f>ROUND(B4/C4/10,2)%</f>
        <v>0.2361</v>
      </c>
      <c r="E4" s="30"/>
      <c r="F4" s="32">
        <v>5876</v>
      </c>
    </row>
    <row r="5" spans="1:17" ht="28.5">
      <c r="A5" s="31" t="s">
        <v>21</v>
      </c>
      <c r="B5" s="32">
        <f>SUM(B3:B4)</f>
        <v>1793560</v>
      </c>
      <c r="C5" s="30">
        <f>SUM(C3:C4)</f>
        <v>3100</v>
      </c>
      <c r="D5" s="33">
        <f>ROUND(B5/C5/10,2)%</f>
        <v>0.5786</v>
      </c>
      <c r="E5" s="30"/>
      <c r="F5" s="32">
        <f>SUM(F3:F4)</f>
        <v>11226</v>
      </c>
    </row>
    <row r="6" spans="1:17" ht="28.5">
      <c r="A6" s="31" t="s">
        <v>2</v>
      </c>
      <c r="B6" s="32">
        <v>2302172</v>
      </c>
      <c r="C6" s="30">
        <v>4300</v>
      </c>
      <c r="D6" s="33">
        <f>ROUND(B6/C6/10,2)%</f>
        <v>0.53539999999999999</v>
      </c>
      <c r="E6" s="30"/>
      <c r="F6" s="32">
        <v>15656</v>
      </c>
    </row>
    <row r="7" spans="1:17" ht="28.5">
      <c r="A7" s="31" t="s">
        <v>33</v>
      </c>
      <c r="B7" s="32">
        <f>SUM(B6:B6)</f>
        <v>2302172</v>
      </c>
      <c r="C7" s="30">
        <f>SUM(C6:C6)</f>
        <v>4300</v>
      </c>
      <c r="D7" s="33">
        <f>ROUND(B7/C7/10,2)%</f>
        <v>0.53539999999999999</v>
      </c>
      <c r="E7" s="30"/>
      <c r="F7" s="32">
        <f>SUM(F6:F6)</f>
        <v>15656</v>
      </c>
    </row>
    <row r="8" spans="1:17" s="27" customFormat="1" ht="28.5">
      <c r="A8" s="31" t="s">
        <v>39</v>
      </c>
      <c r="B8" s="32">
        <v>4095732</v>
      </c>
      <c r="C8" s="30">
        <v>7400</v>
      </c>
      <c r="D8" s="33">
        <v>0.55349999999999999</v>
      </c>
      <c r="E8" s="30"/>
      <c r="F8" s="32">
        <v>26882</v>
      </c>
      <c r="H8" s="28"/>
      <c r="I8" s="28"/>
      <c r="J8" s="28"/>
      <c r="K8" s="28"/>
      <c r="L8" s="28"/>
      <c r="M8" s="28"/>
      <c r="N8" s="28"/>
      <c r="O8" s="28"/>
      <c r="P8" s="28"/>
      <c r="Q8" s="28"/>
    </row>
    <row r="13" spans="1:17">
      <c r="C13" s="3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 1 頁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周立修</cp:lastModifiedBy>
  <dcterms:modified xsi:type="dcterms:W3CDTF">2020-07-29T08:45:51Z</dcterms:modified>
</cp:coreProperties>
</file>