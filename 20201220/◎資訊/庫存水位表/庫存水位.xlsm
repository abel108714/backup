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Q175" i="1"/>
  <c r="P175"/>
  <c r="N175"/>
  <c r="Q174"/>
  <c r="P174"/>
  <c r="N174"/>
  <c r="P173"/>
  <c r="N173"/>
  <c r="Q172"/>
  <c r="P172"/>
  <c r="N172"/>
  <c r="Q171"/>
  <c r="P171"/>
  <c r="N171"/>
  <c r="P170"/>
  <c r="N170"/>
  <c r="Q169"/>
  <c r="P169"/>
  <c r="N169"/>
  <c r="Q168"/>
  <c r="P168"/>
  <c r="N168"/>
  <c r="Q167"/>
  <c r="P167"/>
  <c r="N167"/>
  <c r="Q166"/>
  <c r="P166"/>
  <c r="N166"/>
  <c r="Q165"/>
  <c r="P165"/>
  <c r="N165"/>
  <c r="Q164"/>
  <c r="P164"/>
  <c r="N164"/>
  <c r="Q163"/>
  <c r="P163"/>
  <c r="N163"/>
  <c r="Q162"/>
  <c r="P162"/>
  <c r="N162"/>
  <c r="Q161"/>
  <c r="P161"/>
  <c r="N161"/>
  <c r="Q160"/>
  <c r="P160"/>
  <c r="N160"/>
  <c r="P159"/>
  <c r="N159"/>
  <c r="P158"/>
  <c r="N158"/>
  <c r="Q157"/>
  <c r="P157"/>
  <c r="N157"/>
  <c r="Q156"/>
  <c r="P156"/>
  <c r="N156"/>
  <c r="Q155"/>
  <c r="P155"/>
  <c r="N155"/>
  <c r="Q154"/>
  <c r="P154"/>
  <c r="N154"/>
  <c r="P153"/>
  <c r="N153"/>
  <c r="P152"/>
  <c r="N152"/>
  <c r="P151"/>
  <c r="N151"/>
  <c r="P150"/>
  <c r="N150"/>
  <c r="Q149"/>
  <c r="P149"/>
  <c r="N149"/>
  <c r="P148"/>
  <c r="N148"/>
  <c r="P147"/>
  <c r="N147"/>
  <c r="P146"/>
  <c r="N146"/>
  <c r="P145"/>
  <c r="N145"/>
  <c r="P144"/>
  <c r="N144"/>
  <c r="P143"/>
  <c r="N143"/>
  <c r="P142"/>
  <c r="N142"/>
  <c r="P141"/>
  <c r="N141"/>
  <c r="P140"/>
  <c r="N140"/>
  <c r="P139"/>
  <c r="N139"/>
  <c r="Q138"/>
  <c r="P138"/>
  <c r="N138"/>
  <c r="Q137"/>
  <c r="P137"/>
  <c r="N137"/>
  <c r="P136"/>
  <c r="N136"/>
  <c r="P135"/>
  <c r="N135"/>
  <c r="P134"/>
  <c r="N134"/>
  <c r="P133"/>
  <c r="N133"/>
  <c r="P132"/>
  <c r="N132"/>
  <c r="P131"/>
  <c r="N131"/>
  <c r="P130"/>
  <c r="N130"/>
  <c r="P129"/>
  <c r="N129"/>
  <c r="P128"/>
  <c r="N128"/>
  <c r="P127"/>
  <c r="N127"/>
  <c r="P126"/>
  <c r="N126"/>
  <c r="P125"/>
  <c r="N125"/>
  <c r="Q124"/>
  <c r="P124"/>
  <c r="N124"/>
  <c r="Q123"/>
  <c r="P123"/>
  <c r="N123"/>
  <c r="Q122"/>
  <c r="P122"/>
  <c r="N122"/>
  <c r="P121"/>
  <c r="N121"/>
  <c r="Q120"/>
  <c r="P120"/>
  <c r="N120"/>
  <c r="Q119"/>
  <c r="P119"/>
  <c r="N119"/>
  <c r="P118"/>
  <c r="N118"/>
  <c r="Q117"/>
  <c r="P117"/>
  <c r="N117"/>
  <c r="Q116"/>
  <c r="P116"/>
  <c r="N116"/>
  <c r="Q115"/>
  <c r="P115"/>
  <c r="N115"/>
  <c r="Q114"/>
  <c r="P114"/>
  <c r="N114"/>
  <c r="Q113"/>
  <c r="P113"/>
  <c r="N113"/>
  <c r="Q112"/>
  <c r="P112"/>
  <c r="N112"/>
  <c r="Q111"/>
  <c r="P111"/>
  <c r="N111"/>
  <c r="Q110"/>
  <c r="P110"/>
  <c r="N110"/>
  <c r="Q109"/>
  <c r="P109"/>
  <c r="N109"/>
  <c r="Q108"/>
  <c r="P108"/>
  <c r="N108"/>
  <c r="Q107"/>
  <c r="P107"/>
  <c r="N107"/>
  <c r="Q106"/>
  <c r="P106"/>
  <c r="N106"/>
  <c r="Q105"/>
  <c r="P105"/>
  <c r="N105"/>
  <c r="Q104"/>
  <c r="P104"/>
  <c r="N104"/>
  <c r="Q103"/>
  <c r="P103"/>
  <c r="N103"/>
  <c r="Q102"/>
  <c r="P102"/>
  <c r="N102"/>
  <c r="Q101"/>
  <c r="P101"/>
  <c r="N101"/>
  <c r="Q100"/>
  <c r="P100"/>
  <c r="N100"/>
  <c r="Q99"/>
  <c r="P99"/>
  <c r="N99"/>
  <c r="Q98"/>
  <c r="P98"/>
  <c r="N98"/>
  <c r="Q97"/>
  <c r="P97"/>
  <c r="N97"/>
  <c r="P96"/>
  <c r="N96"/>
  <c r="P95"/>
  <c r="N95"/>
  <c r="P94"/>
  <c r="N94"/>
  <c r="P93"/>
  <c r="N93"/>
  <c r="P92"/>
  <c r="N92"/>
  <c r="Q91"/>
  <c r="P91"/>
  <c r="N91"/>
  <c r="Q90"/>
  <c r="P90"/>
  <c r="N90"/>
  <c r="Q89"/>
  <c r="P89"/>
  <c r="N89"/>
  <c r="Q88"/>
  <c r="P88"/>
  <c r="N88"/>
  <c r="Q87"/>
  <c r="P87"/>
  <c r="N87"/>
  <c r="Q86"/>
  <c r="P86"/>
  <c r="N86"/>
  <c r="Q85"/>
  <c r="P85"/>
  <c r="N85"/>
  <c r="Q84"/>
  <c r="P84"/>
  <c r="N84"/>
  <c r="Q83"/>
  <c r="P83"/>
  <c r="N83"/>
  <c r="Q82"/>
  <c r="P82"/>
  <c r="N82"/>
  <c r="Q81"/>
  <c r="P81"/>
  <c r="N81"/>
  <c r="Q80"/>
  <c r="P80"/>
  <c r="N80"/>
  <c r="Q79"/>
  <c r="P79"/>
  <c r="N79"/>
  <c r="Q78"/>
  <c r="P78"/>
  <c r="N78"/>
  <c r="Q77"/>
  <c r="P77"/>
  <c r="N77"/>
  <c r="Q76"/>
  <c r="P76"/>
  <c r="N76"/>
  <c r="Q75"/>
  <c r="P75"/>
  <c r="N75"/>
  <c r="Q74"/>
  <c r="P74"/>
  <c r="N74"/>
  <c r="Q73"/>
  <c r="P73"/>
  <c r="N73"/>
  <c r="P72"/>
  <c r="N72"/>
  <c r="P71"/>
  <c r="N71"/>
  <c r="Q70"/>
  <c r="P70"/>
  <c r="N70"/>
  <c r="Q69"/>
  <c r="P69"/>
  <c r="N69"/>
  <c r="Q68"/>
  <c r="P68"/>
  <c r="N68"/>
  <c r="Q67"/>
  <c r="P67"/>
  <c r="N67"/>
  <c r="Q66"/>
  <c r="P66"/>
  <c r="N66"/>
  <c r="Q65"/>
  <c r="P65"/>
  <c r="N65"/>
  <c r="Q64"/>
  <c r="P64"/>
  <c r="N64"/>
  <c r="Q63"/>
  <c r="P63"/>
  <c r="N63"/>
  <c r="Q62"/>
  <c r="P62"/>
  <c r="N62"/>
  <c r="P61"/>
  <c r="N61"/>
  <c r="Q60"/>
  <c r="P60"/>
  <c r="N60"/>
  <c r="Q59"/>
  <c r="P59"/>
  <c r="N59"/>
  <c r="P58"/>
  <c r="N58"/>
  <c r="P57"/>
  <c r="N57"/>
  <c r="Q56"/>
  <c r="P56"/>
  <c r="N56"/>
  <c r="Q55"/>
  <c r="P55"/>
  <c r="N55"/>
  <c r="Q54"/>
  <c r="P54"/>
  <c r="N54"/>
  <c r="P53"/>
  <c r="N53"/>
  <c r="Q52"/>
  <c r="P52"/>
  <c r="N52"/>
  <c r="Q51"/>
  <c r="P51"/>
  <c r="N51"/>
  <c r="Q50"/>
  <c r="P50"/>
  <c r="N50"/>
  <c r="Q49"/>
  <c r="P49"/>
  <c r="N49"/>
  <c r="Q48"/>
  <c r="P48"/>
  <c r="N48"/>
  <c r="Q47"/>
  <c r="P47"/>
  <c r="N47"/>
  <c r="Q46"/>
  <c r="P46"/>
  <c r="N46"/>
  <c r="Q45"/>
  <c r="P45"/>
  <c r="N45"/>
  <c r="Q44"/>
  <c r="P44"/>
  <c r="N44"/>
  <c r="P43"/>
  <c r="N43"/>
  <c r="P42"/>
  <c r="N42"/>
  <c r="Q41"/>
  <c r="P41"/>
  <c r="N41"/>
  <c r="Q40"/>
  <c r="P40"/>
  <c r="N40"/>
  <c r="P39"/>
  <c r="N39"/>
  <c r="P38"/>
  <c r="N38"/>
  <c r="Q37"/>
  <c r="P37"/>
  <c r="N37"/>
  <c r="P36"/>
  <c r="N36"/>
  <c r="Q35"/>
  <c r="P35"/>
  <c r="N35"/>
  <c r="Q34"/>
  <c r="P34"/>
  <c r="N34"/>
  <c r="P33"/>
  <c r="N33"/>
  <c r="P32"/>
  <c r="N32"/>
  <c r="P31"/>
  <c r="N31"/>
  <c r="P30"/>
  <c r="N30"/>
  <c r="P29"/>
  <c r="N29"/>
  <c r="P28"/>
  <c r="N28"/>
  <c r="P27"/>
  <c r="N27"/>
  <c r="P26"/>
  <c r="N26"/>
  <c r="P25"/>
  <c r="N25"/>
  <c r="P24"/>
  <c r="N24"/>
  <c r="P23"/>
  <c r="N23"/>
  <c r="P22"/>
  <c r="N22"/>
  <c r="Q21"/>
  <c r="P21"/>
  <c r="N21"/>
  <c r="Q20"/>
  <c r="P20"/>
  <c r="N20"/>
  <c r="Q19"/>
  <c r="P19"/>
  <c r="N19"/>
  <c r="Q18"/>
  <c r="P18"/>
  <c r="N18"/>
  <c r="Q17"/>
  <c r="P17"/>
  <c r="N17"/>
  <c r="Q16"/>
  <c r="P16"/>
  <c r="N16"/>
  <c r="Q15"/>
  <c r="P15"/>
  <c r="N15"/>
  <c r="Q14"/>
  <c r="P14"/>
  <c r="N14"/>
  <c r="Q13"/>
  <c r="P13"/>
  <c r="N13"/>
  <c r="Q12"/>
  <c r="P12"/>
  <c r="N12"/>
  <c r="Q11"/>
  <c r="P11"/>
  <c r="N11"/>
  <c r="Q10"/>
  <c r="P10"/>
  <c r="N10"/>
  <c r="P9"/>
  <c r="N9"/>
  <c r="P8"/>
  <c r="N8"/>
  <c r="Q7"/>
  <c r="P7"/>
  <c r="N7"/>
  <c r="Q6"/>
  <c r="P6"/>
  <c r="N6"/>
  <c r="Q5"/>
  <c r="P5"/>
  <c r="N5"/>
  <c r="Q4"/>
  <c r="P4"/>
  <c r="N4"/>
  <c r="Q3"/>
  <c r="P3"/>
  <c r="N3"/>
  <c r="Q2"/>
  <c r="P2"/>
  <c r="N2"/>
</calcChain>
</file>

<file path=xl/sharedStrings.xml><?xml version="1.0" encoding="utf-8"?>
<sst xmlns="http://schemas.openxmlformats.org/spreadsheetml/2006/main" count="540" uniqueCount="184">
  <si>
    <t>十穀米(1800g)</t>
  </si>
  <si>
    <t>10包/箱</t>
  </si>
  <si>
    <t>天然冰湖野米十穀米600g</t>
  </si>
  <si>
    <t>6包/箱</t>
  </si>
  <si>
    <t>洛神桂花烏梅飲350ml(方形瓶)350ml/瓶</t>
  </si>
  <si>
    <t>24瓶/箱</t>
  </si>
  <si>
    <t>枸杞菊花飲350ml(方形瓶)350ml/瓶</t>
  </si>
  <si>
    <t>100%綜合莓果汁490ML</t>
  </si>
  <si>
    <t>三寶胚芽餅420g</t>
  </si>
  <si>
    <t>恩里克王子椒鹽蘇打餅(奇亞籽添</t>
  </si>
  <si>
    <t>12包/箱</t>
  </si>
  <si>
    <t>和風高纖蒟蒻乾320g</t>
  </si>
  <si>
    <t>和風高纖蒟蒻乾320g(Q薄)</t>
  </si>
  <si>
    <t>美麗果蔓越莓乾200g(袋)</t>
  </si>
  <si>
    <t>紅寶石葡萄乾380g(罐)</t>
  </si>
  <si>
    <t>12罐/箱</t>
  </si>
  <si>
    <t>雙彩的果乾280g</t>
  </si>
  <si>
    <t>金牌黑棗(去籽)300g</t>
  </si>
  <si>
    <t>江戶的蒟蒻禮盒</t>
  </si>
  <si>
    <t>6盒/箱</t>
  </si>
  <si>
    <t>蜂蜜香檬吸凍220g</t>
  </si>
  <si>
    <t>24杯/箱</t>
  </si>
  <si>
    <t>皇家乳酪絲100g</t>
  </si>
  <si>
    <t>起司脆片(自然原味)</t>
  </si>
  <si>
    <t>12盒/箱</t>
  </si>
  <si>
    <t>起司脆片(辣味)</t>
  </si>
  <si>
    <t>起司原片(自然原味)統健</t>
  </si>
  <si>
    <t>起司原片(義式香草)(統健)</t>
  </si>
  <si>
    <t>圓緣?-黑糖風味</t>
  </si>
  <si>
    <t>24包/箱</t>
  </si>
  <si>
    <t>苦茶油520ml(康健生機)</t>
  </si>
  <si>
    <t>12瓶/箱</t>
  </si>
  <si>
    <t>印加果油(祕魯)</t>
  </si>
  <si>
    <t>6瓶/箱</t>
  </si>
  <si>
    <t>冰糖600g</t>
  </si>
  <si>
    <t>冰糖3000g</t>
  </si>
  <si>
    <t>8袋/箱</t>
  </si>
  <si>
    <t>手工醇釀醬油400ml(康健生機)</t>
  </si>
  <si>
    <t>麴本物-釀豆油露400ml(正直村)</t>
  </si>
  <si>
    <t>生機湖鹽600g(大賣場)</t>
  </si>
  <si>
    <t>康健生機料理寶150G</t>
  </si>
  <si>
    <t>醍味香滷包(買二贈一)</t>
  </si>
  <si>
    <t>25組/箱</t>
  </si>
  <si>
    <t>麴本物－純釀烏醋(康健有機)250m</t>
  </si>
  <si>
    <t>純正龍眼蜜700g(有幾園)</t>
  </si>
  <si>
    <t>野蔬拌醬(康健)380g</t>
  </si>
  <si>
    <t>香菇拌醬(康健)380g</t>
  </si>
  <si>
    <t>香椿拌醬(康健)380g</t>
  </si>
  <si>
    <t>康健生機蜂蜜芝麻醬200g</t>
  </si>
  <si>
    <t>VITA香鬆300g</t>
  </si>
  <si>
    <t>VITA牛蒡香鬆220g</t>
  </si>
  <si>
    <t>御香鬆145g(正直村)</t>
  </si>
  <si>
    <t>康健生機-甜菜根植物纖奶800g</t>
  </si>
  <si>
    <t>6罐/箱</t>
  </si>
  <si>
    <t>康健生機－甜菜根植物纖奶30g*25</t>
  </si>
  <si>
    <t>甜菜根植物奶(屋型)</t>
  </si>
  <si>
    <t>康健生機高鈣燕麥奶(罐裝)</t>
  </si>
  <si>
    <t>三寶粉300g</t>
  </si>
  <si>
    <t>小麥胚芽300g</t>
  </si>
  <si>
    <t>八寶五穀粉900g</t>
  </si>
  <si>
    <t>核桃芝麻糊500g(罐)</t>
  </si>
  <si>
    <t>康健-純濃鮮豆奶500g(罐)(NEW)</t>
  </si>
  <si>
    <t>(NEW)啤酒酵母+大豆卵磷脂(荷蘭)</t>
  </si>
  <si>
    <t>6組/箱</t>
  </si>
  <si>
    <t>純濃老薑茶(康健生機)</t>
  </si>
  <si>
    <t>八寶五穀粉1500g</t>
  </si>
  <si>
    <t>8包/箱</t>
  </si>
  <si>
    <t>波浪麵(蕎麥口味)</t>
  </si>
  <si>
    <t>黃金麥燒粉500g</t>
  </si>
  <si>
    <t>海帶芽100g</t>
  </si>
  <si>
    <t>生機昆布條200g</t>
  </si>
  <si>
    <t>綠豆600g</t>
  </si>
  <si>
    <t>紅豆600g</t>
  </si>
  <si>
    <t>霸豆子180g-黑豆(罐)</t>
  </si>
  <si>
    <t>核桃300g</t>
  </si>
  <si>
    <t>杏仁豆430g</t>
  </si>
  <si>
    <t>南杏400g</t>
  </si>
  <si>
    <t>腰果仁400g</t>
  </si>
  <si>
    <t>綜合堅果450g</t>
  </si>
  <si>
    <t>黃金七堅果(康健生機)</t>
  </si>
  <si>
    <t>陽光堅果210g(2020版)</t>
  </si>
  <si>
    <t>杏仁丁香小魚75g(統健)</t>
  </si>
  <si>
    <t>8包/袋|5袋/箱</t>
  </si>
  <si>
    <t>養生綜合堅果仁300g(NEW)</t>
  </si>
  <si>
    <t>特級黃豆種子(10斤)</t>
  </si>
  <si>
    <t>5袋/箱</t>
  </si>
  <si>
    <t>特級黃豆600g</t>
  </si>
  <si>
    <t>珍珠薏仁450g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</si>
  <si>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</si>
  <si>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</si>
  <si>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</si>
  <si>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</si>
  <si>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</si>
  <si>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</si>
  <si>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</si>
  <si>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</si>
  <si>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</si>
  <si>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</t>
  </si>
  <si>
    <t>雪蓮子麵筋200g</t>
  </si>
  <si>
    <t>24罐/箱</t>
  </si>
  <si>
    <t>雪蓮子麵筋200g(3入/組)</t>
  </si>
  <si>
    <t>8組/箱</t>
  </si>
  <si>
    <t>純釀蔭油條瓜170g</t>
  </si>
  <si>
    <t>NEW高純度異麥芽寡糖520ml(康健</t>
  </si>
  <si>
    <t>酵素源醋600cc</t>
  </si>
  <si>
    <t>醇‧蘋果醋500ml(NEW)</t>
  </si>
  <si>
    <t>醇‧糙米醋500ml(NEW)</t>
  </si>
  <si>
    <t>纖維粉200g</t>
  </si>
  <si>
    <t>薄荷油8ml(支)</t>
  </si>
  <si>
    <t>24支/盒</t>
  </si>
  <si>
    <t>神奇的喜鷗多功能洗潔粉</t>
  </si>
  <si>
    <t>8盒/箱</t>
  </si>
  <si>
    <t>俐益湖2028完美全營養調理機110V</t>
  </si>
  <si>
    <t>2台/箱</t>
  </si>
  <si>
    <t>俐益湖完美全營養杯</t>
  </si>
  <si>
    <t>8個/箱</t>
  </si>
  <si>
    <t>綠動機-遙控器</t>
  </si>
  <si>
    <t>10個/箱</t>
  </si>
  <si>
    <t>綠動機-電源線(BW系列)</t>
  </si>
  <si>
    <t>20個/箱</t>
  </si>
  <si>
    <t>綠動機-變壓器</t>
  </si>
  <si>
    <t>禮盒3入-有機黑木耳膠原飲</t>
  </si>
  <si>
    <t>16組/箱</t>
  </si>
  <si>
    <t>律動療法(繁體版)</t>
  </si>
  <si>
    <t>20本/箱</t>
  </si>
  <si>
    <t>極品烏龍300g</t>
  </si>
  <si>
    <t>珍品高山烏龍300g</t>
  </si>
  <si>
    <t>人氣果乾3入禮盒</t>
  </si>
  <si>
    <t>4組/箱</t>
  </si>
  <si>
    <t>果乾禮盒A組</t>
  </si>
  <si>
    <t>果乾禮盒B組</t>
  </si>
  <si>
    <t>果乾禮盒C組</t>
  </si>
  <si>
    <t>沖泡禮盒A組</t>
  </si>
  <si>
    <t>沖泡禮盒E組</t>
  </si>
  <si>
    <t>沖泡禮盒F組</t>
  </si>
  <si>
    <t>純釀醬油禮</t>
  </si>
  <si>
    <t>霸豆子禮盒組</t>
  </si>
  <si>
    <t>甜菜根植物纖奶(燕麥奶)800g*2罐</t>
  </si>
  <si>
    <t>1組/箱</t>
  </si>
  <si>
    <t>有機園有機黑木耳膠原飲-300玻24</t>
  </si>
  <si>
    <t>有機黑木耳膠原飲X8入禮盒</t>
  </si>
  <si>
    <t>4盒/箱</t>
  </si>
  <si>
    <t>有機紅茶(無糖)590ml</t>
  </si>
  <si>
    <t>有機山裡茶-綠茶(無糖)590ml(康健生機)</t>
  </si>
  <si>
    <t>有機純味黑糖450g</t>
  </si>
  <si>
    <t>有機黑豆蔭油410ml(有機園)</t>
  </si>
  <si>
    <t>有機黑豆蔭油膏410ml(有機園)</t>
  </si>
  <si>
    <t>有機純釀醬油300ml(康健生機)</t>
  </si>
  <si>
    <t>有機黑五寶多穀飲</t>
  </si>
  <si>
    <t>有機杏仁堅果飲</t>
  </si>
  <si>
    <t>有機高筋麵粉500g(康健有機)</t>
  </si>
  <si>
    <t>有機全麥麵粉500g(康健有機)</t>
  </si>
  <si>
    <t>有機中筋麵粉500g</t>
  </si>
  <si>
    <t>有機綠豆500g(康健有機)</t>
  </si>
  <si>
    <t>有機紅豆500g(康健有機)</t>
  </si>
  <si>
    <t>有機超大紅棗300g(無附枸杞)</t>
  </si>
  <si>
    <t>有機枸杞6包裝(袋)</t>
  </si>
  <si>
    <t>2袋/箱</t>
  </si>
  <si>
    <t>有機黃豆500g(康健有機)</t>
  </si>
  <si>
    <t>有機黑豆500g(康健有機)</t>
  </si>
  <si>
    <t>京東有機板栗禮盒組</t>
  </si>
  <si>
    <t>有機紅茶</t>
  </si>
  <si>
    <t>12袋/箱</t>
  </si>
  <si>
    <t>有機綠茶(袋)</t>
  </si>
  <si>
    <t>燈號</t>
  </si>
  <si>
    <t>庫別</t>
  </si>
  <si>
    <t>庫別名稱</t>
  </si>
  <si>
    <t>安全庫存水位</t>
  </si>
  <si>
    <t>保存期限</t>
  </si>
  <si>
    <t>剩餘有效天數</t>
  </si>
  <si>
    <t>下單批量</t>
  </si>
  <si>
    <t>迴轉率</t>
  </si>
  <si>
    <t>迴轉天數</t>
  </si>
  <si>
    <t>每月均銷量</t>
  </si>
  <si>
    <t>每日均銷量</t>
  </si>
  <si>
    <t>預估幾日售完</t>
  </si>
  <si>
    <t>到貨天數</t>
  </si>
  <si>
    <t>商品代號</t>
    <phoneticPr fontId="1" type="noConversion"/>
  </si>
  <si>
    <t>商品名稱</t>
    <phoneticPr fontId="1" type="noConversion"/>
  </si>
  <si>
    <t>包裝方式</t>
    <phoneticPr fontId="1" type="noConversion"/>
  </si>
  <si>
    <t>存量</t>
    <phoneticPr fontId="1" type="noConversion"/>
  </si>
  <si>
    <t>有效期限</t>
    <phoneticPr fontId="1" type="noConversion"/>
  </si>
  <si>
    <t>●</t>
  </si>
  <si>
    <t>●</t>
    <phoneticPr fontId="1" type="noConversion"/>
  </si>
</sst>
</file>

<file path=xl/styles.xml><?xml version="1.0" encoding="utf-8"?>
<styleSheet xmlns="http://schemas.openxmlformats.org/spreadsheetml/2006/main"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sz val="12"/>
      <color rgb="FF00B050"/>
      <name val="新細明體"/>
      <family val="2"/>
      <charset val="136"/>
      <scheme val="minor"/>
    </font>
    <font>
      <sz val="12"/>
      <color theme="0" tint="-0.499984740745262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175"/>
  <sheetViews>
    <sheetView tabSelected="1" workbookViewId="0">
      <pane ySplit="1" topLeftCell="A2" activePane="bottomLeft" state="frozenSplit"/>
      <selection pane="bottomLeft" activeCell="L1" sqref="L1:N1048576"/>
    </sheetView>
  </sheetViews>
  <sheetFormatPr defaultColWidth="9" defaultRowHeight="16.5" customHeight="1"/>
  <cols>
    <col min="1" max="1" width="5.625" customWidth="1"/>
    <col min="2" max="3" width="9" hidden="1" customWidth="1"/>
    <col min="4" max="4" width="13.375" customWidth="1"/>
    <col min="5" max="5" width="39.625" customWidth="1"/>
    <col min="6" max="6" width="10.5" hidden="1" customWidth="1"/>
    <col min="7" max="7" width="10.5" customWidth="1"/>
    <col min="8" max="8" width="14.5" hidden="1" customWidth="1"/>
    <col min="9" max="9" width="27.5" hidden="1" customWidth="1"/>
    <col min="10" max="10" width="14.875" customWidth="1"/>
    <col min="11" max="11" width="14.875" hidden="1" customWidth="1"/>
    <col min="12" max="12" width="12.125" hidden="1" customWidth="1"/>
    <col min="13" max="14" width="27.5" hidden="1" customWidth="1"/>
    <col min="15" max="15" width="12.875" customWidth="1"/>
    <col min="16" max="16" width="12.5" customWidth="1"/>
    <col min="17" max="17" width="14.125" customWidth="1"/>
  </cols>
  <sheetData>
    <row r="1" spans="1:18" ht="16.5" customHeight="1">
      <c r="A1" s="3" t="s">
        <v>164</v>
      </c>
      <c r="B1" s="3" t="s">
        <v>165</v>
      </c>
      <c r="C1" s="3" t="s">
        <v>166</v>
      </c>
      <c r="D1" s="3" t="s">
        <v>177</v>
      </c>
      <c r="E1" s="3" t="s">
        <v>178</v>
      </c>
      <c r="F1" s="3" t="s">
        <v>179</v>
      </c>
      <c r="G1" s="3" t="s">
        <v>180</v>
      </c>
      <c r="H1" s="3" t="s">
        <v>167</v>
      </c>
      <c r="I1" s="3" t="s">
        <v>168</v>
      </c>
      <c r="J1" s="3" t="s">
        <v>181</v>
      </c>
      <c r="K1" s="3" t="s">
        <v>169</v>
      </c>
      <c r="L1" s="3" t="s">
        <v>170</v>
      </c>
      <c r="M1" s="3" t="s">
        <v>171</v>
      </c>
      <c r="N1" s="3" t="s">
        <v>172</v>
      </c>
      <c r="O1" s="3" t="s">
        <v>173</v>
      </c>
      <c r="P1" s="3" t="s">
        <v>174</v>
      </c>
      <c r="Q1" s="3" t="s">
        <v>175</v>
      </c>
      <c r="R1" s="3" t="s">
        <v>176</v>
      </c>
    </row>
    <row r="2" spans="1:18" ht="16.5" customHeight="1">
      <c r="A2" s="5" t="s">
        <v>182</v>
      </c>
      <c r="D2">
        <v>10903004</v>
      </c>
      <c r="E2" t="s">
        <v>0</v>
      </c>
      <c r="F2" t="s">
        <v>1</v>
      </c>
      <c r="G2">
        <v>38</v>
      </c>
      <c r="J2" s="4">
        <v>44455</v>
      </c>
      <c r="K2">
        <v>272</v>
      </c>
      <c r="M2">
        <v>0</v>
      </c>
      <c r="N2">
        <f>ROUND(M2/30,0)</f>
        <v>0</v>
      </c>
      <c r="O2">
        <v>87</v>
      </c>
      <c r="P2">
        <f>ROUND(O2/30,0)</f>
        <v>3</v>
      </c>
      <c r="Q2">
        <f>ROUND(G2/P2,0)</f>
        <v>13</v>
      </c>
      <c r="R2">
        <v>18</v>
      </c>
    </row>
    <row r="3" spans="1:18" ht="16.5" customHeight="1">
      <c r="A3" s="6" t="s">
        <v>182</v>
      </c>
      <c r="D3">
        <v>10903004</v>
      </c>
      <c r="E3" t="s">
        <v>0</v>
      </c>
      <c r="F3" t="s">
        <v>1</v>
      </c>
      <c r="G3">
        <v>370</v>
      </c>
      <c r="J3" s="4">
        <v>44499</v>
      </c>
      <c r="K3">
        <v>316</v>
      </c>
      <c r="M3">
        <v>0</v>
      </c>
      <c r="N3">
        <f>ROUND(M3/30,0)</f>
        <v>0</v>
      </c>
      <c r="O3">
        <v>87</v>
      </c>
      <c r="P3">
        <f>ROUND(O3/30,0)</f>
        <v>3</v>
      </c>
      <c r="Q3">
        <f>ROUND(G3/P3,0)</f>
        <v>123</v>
      </c>
      <c r="R3">
        <v>18</v>
      </c>
    </row>
    <row r="4" spans="1:18" ht="16.5" customHeight="1">
      <c r="A4" s="6" t="s">
        <v>182</v>
      </c>
      <c r="D4">
        <v>10903008</v>
      </c>
      <c r="E4" t="s">
        <v>2</v>
      </c>
      <c r="F4" t="s">
        <v>3</v>
      </c>
      <c r="G4">
        <v>684</v>
      </c>
      <c r="J4" s="4">
        <v>44475</v>
      </c>
      <c r="K4">
        <v>292</v>
      </c>
      <c r="M4">
        <v>0</v>
      </c>
      <c r="N4">
        <f>ROUND(M4/30,0)</f>
        <v>0</v>
      </c>
      <c r="O4">
        <v>263</v>
      </c>
      <c r="P4">
        <f>ROUND(O4/30,0)</f>
        <v>9</v>
      </c>
      <c r="Q4">
        <f>ROUND(G4/P4,0)</f>
        <v>76</v>
      </c>
      <c r="R4">
        <v>25</v>
      </c>
    </row>
    <row r="5" spans="1:18" ht="16.5" customHeight="1">
      <c r="A5" s="6" t="s">
        <v>182</v>
      </c>
      <c r="D5">
        <v>11103035</v>
      </c>
      <c r="E5" t="s">
        <v>4</v>
      </c>
      <c r="F5" t="s">
        <v>5</v>
      </c>
      <c r="G5">
        <v>7368</v>
      </c>
      <c r="J5" s="4">
        <v>44434</v>
      </c>
      <c r="K5">
        <v>251</v>
      </c>
      <c r="L5">
        <v>24000</v>
      </c>
      <c r="M5">
        <v>137</v>
      </c>
      <c r="N5">
        <f>ROUND(M5/30,0)</f>
        <v>5</v>
      </c>
      <c r="O5">
        <v>5260</v>
      </c>
      <c r="P5">
        <f>ROUND(O5/30,0)</f>
        <v>175</v>
      </c>
      <c r="Q5">
        <f>ROUND(G5/P5,0)</f>
        <v>42</v>
      </c>
      <c r="R5">
        <v>30</v>
      </c>
    </row>
    <row r="6" spans="1:18" ht="16.5" customHeight="1">
      <c r="A6" s="5" t="s">
        <v>182</v>
      </c>
      <c r="D6">
        <v>11103036</v>
      </c>
      <c r="E6" t="s">
        <v>6</v>
      </c>
      <c r="F6" t="s">
        <v>5</v>
      </c>
      <c r="G6">
        <v>144</v>
      </c>
      <c r="J6" s="4">
        <v>44435</v>
      </c>
      <c r="K6">
        <v>252</v>
      </c>
      <c r="L6">
        <v>24000</v>
      </c>
      <c r="M6">
        <v>81</v>
      </c>
      <c r="N6">
        <f>ROUND(M6/30,0)</f>
        <v>3</v>
      </c>
      <c r="O6">
        <v>8839</v>
      </c>
      <c r="P6">
        <f>ROUND(O6/30,0)</f>
        <v>295</v>
      </c>
      <c r="Q6">
        <f>ROUND(G6/P6,0)</f>
        <v>0</v>
      </c>
      <c r="R6">
        <v>30</v>
      </c>
    </row>
    <row r="7" spans="1:18" ht="16.5" customHeight="1">
      <c r="A7" s="6" t="s">
        <v>182</v>
      </c>
      <c r="D7">
        <v>11103036</v>
      </c>
      <c r="E7" t="s">
        <v>6</v>
      </c>
      <c r="F7" t="s">
        <v>5</v>
      </c>
      <c r="G7">
        <v>12888</v>
      </c>
      <c r="J7" s="4">
        <v>44480</v>
      </c>
      <c r="K7">
        <v>297</v>
      </c>
      <c r="L7">
        <v>24000</v>
      </c>
      <c r="M7">
        <v>81</v>
      </c>
      <c r="N7">
        <f>ROUND(M7/30,0)</f>
        <v>3</v>
      </c>
      <c r="O7">
        <v>8839</v>
      </c>
      <c r="P7">
        <f>ROUND(O7/30,0)</f>
        <v>295</v>
      </c>
      <c r="Q7">
        <f>ROUND(G7/P7,0)</f>
        <v>44</v>
      </c>
      <c r="R7">
        <v>30</v>
      </c>
    </row>
    <row r="8" spans="1:18" ht="16.5" customHeight="1">
      <c r="A8" s="5" t="s">
        <v>182</v>
      </c>
      <c r="D8">
        <v>11105029</v>
      </c>
      <c r="E8" t="s">
        <v>7</v>
      </c>
      <c r="F8" t="s">
        <v>5</v>
      </c>
      <c r="G8">
        <v>38280</v>
      </c>
      <c r="J8" s="4">
        <v>44440</v>
      </c>
      <c r="K8">
        <v>257</v>
      </c>
      <c r="M8">
        <v>0</v>
      </c>
      <c r="N8">
        <f>ROUND(M8/30,0)</f>
        <v>0</v>
      </c>
      <c r="P8">
        <f>ROUND(O8/30,0)</f>
        <v>0</v>
      </c>
      <c r="Q8">
        <v>0</v>
      </c>
      <c r="R8">
        <v>30</v>
      </c>
    </row>
    <row r="9" spans="1:18" ht="16.5" customHeight="1">
      <c r="A9" s="5" t="s">
        <v>182</v>
      </c>
      <c r="D9">
        <v>11105029</v>
      </c>
      <c r="E9" t="s">
        <v>7</v>
      </c>
      <c r="F9" t="s">
        <v>5</v>
      </c>
      <c r="G9">
        <v>96</v>
      </c>
      <c r="J9" s="4">
        <v>44440</v>
      </c>
      <c r="K9">
        <v>257</v>
      </c>
      <c r="M9">
        <v>0</v>
      </c>
      <c r="N9">
        <f>ROUND(M9/30,0)</f>
        <v>0</v>
      </c>
      <c r="P9">
        <f>ROUND(O9/30,0)</f>
        <v>0</v>
      </c>
      <c r="Q9">
        <v>0</v>
      </c>
      <c r="R9">
        <v>30</v>
      </c>
    </row>
    <row r="10" spans="1:18" ht="16.5" customHeight="1">
      <c r="A10" s="5" t="s">
        <v>182</v>
      </c>
      <c r="D10">
        <v>11301001</v>
      </c>
      <c r="E10" t="s">
        <v>8</v>
      </c>
      <c r="F10" t="s">
        <v>1</v>
      </c>
      <c r="G10">
        <v>2126</v>
      </c>
      <c r="J10" s="4">
        <v>44515</v>
      </c>
      <c r="K10">
        <v>332</v>
      </c>
      <c r="M10">
        <v>0</v>
      </c>
      <c r="N10">
        <f>ROUND(M10/30,0)</f>
        <v>0</v>
      </c>
      <c r="O10">
        <v>2668</v>
      </c>
      <c r="P10">
        <f>ROUND(O10/30,0)</f>
        <v>89</v>
      </c>
      <c r="Q10">
        <f>ROUND(G10/P10,0)</f>
        <v>24</v>
      </c>
      <c r="R10">
        <v>30</v>
      </c>
    </row>
    <row r="11" spans="1:18" ht="16.5" customHeight="1">
      <c r="A11" s="6" t="s">
        <v>182</v>
      </c>
      <c r="D11">
        <v>11301063</v>
      </c>
      <c r="E11" t="s">
        <v>9</v>
      </c>
      <c r="F11" t="s">
        <v>10</v>
      </c>
      <c r="G11">
        <v>4979</v>
      </c>
      <c r="J11" s="4">
        <v>44438</v>
      </c>
      <c r="K11">
        <v>255</v>
      </c>
      <c r="M11">
        <v>0</v>
      </c>
      <c r="N11">
        <f>ROUND(M11/30,0)</f>
        <v>0</v>
      </c>
      <c r="O11">
        <v>656</v>
      </c>
      <c r="P11">
        <f>ROUND(O11/30,0)</f>
        <v>22</v>
      </c>
      <c r="Q11">
        <f>ROUND(G11/P11,0)</f>
        <v>226</v>
      </c>
      <c r="R11">
        <v>30</v>
      </c>
    </row>
    <row r="12" spans="1:18" ht="16.5" customHeight="1">
      <c r="A12" s="5" t="s">
        <v>182</v>
      </c>
      <c r="D12">
        <v>11303001</v>
      </c>
      <c r="E12" t="s">
        <v>11</v>
      </c>
      <c r="F12" t="s">
        <v>3</v>
      </c>
      <c r="G12">
        <v>62</v>
      </c>
      <c r="J12" s="4">
        <v>44402</v>
      </c>
      <c r="K12">
        <v>219</v>
      </c>
      <c r="L12">
        <v>600</v>
      </c>
      <c r="M12">
        <v>66</v>
      </c>
      <c r="N12">
        <f>ROUND(M12/30,0)</f>
        <v>2</v>
      </c>
      <c r="O12">
        <v>273</v>
      </c>
      <c r="P12">
        <f>ROUND(O12/30,0)</f>
        <v>9</v>
      </c>
      <c r="Q12">
        <f>ROUND(G12/P12,0)</f>
        <v>7</v>
      </c>
      <c r="R12">
        <v>30</v>
      </c>
    </row>
    <row r="13" spans="1:18" ht="16.5" customHeight="1">
      <c r="A13" s="6" t="s">
        <v>182</v>
      </c>
      <c r="D13">
        <v>11303001</v>
      </c>
      <c r="E13" t="s">
        <v>11</v>
      </c>
      <c r="F13" t="s">
        <v>3</v>
      </c>
      <c r="G13">
        <v>492</v>
      </c>
      <c r="J13" s="4">
        <v>44500</v>
      </c>
      <c r="K13">
        <v>317</v>
      </c>
      <c r="L13">
        <v>600</v>
      </c>
      <c r="M13">
        <v>66</v>
      </c>
      <c r="N13">
        <f>ROUND(M13/30,0)</f>
        <v>2</v>
      </c>
      <c r="O13">
        <v>273</v>
      </c>
      <c r="P13">
        <f>ROUND(O13/30,0)</f>
        <v>9</v>
      </c>
      <c r="Q13">
        <f>ROUND(G13/P13,0)</f>
        <v>55</v>
      </c>
      <c r="R13">
        <v>30</v>
      </c>
    </row>
    <row r="14" spans="1:18" ht="16.5" customHeight="1">
      <c r="A14" s="5" t="s">
        <v>182</v>
      </c>
      <c r="D14">
        <v>11303012</v>
      </c>
      <c r="E14" t="s">
        <v>12</v>
      </c>
      <c r="F14" t="s">
        <v>3</v>
      </c>
      <c r="G14">
        <v>287</v>
      </c>
      <c r="J14" s="4">
        <v>44520</v>
      </c>
      <c r="K14">
        <v>337</v>
      </c>
      <c r="L14">
        <v>600</v>
      </c>
      <c r="M14">
        <v>32</v>
      </c>
      <c r="N14">
        <f>ROUND(M14/30,0)</f>
        <v>1</v>
      </c>
      <c r="O14">
        <v>563</v>
      </c>
      <c r="P14">
        <f>ROUND(O14/30,0)</f>
        <v>19</v>
      </c>
      <c r="Q14">
        <f>ROUND(G14/P14,0)</f>
        <v>15</v>
      </c>
      <c r="R14">
        <v>30</v>
      </c>
    </row>
    <row r="15" spans="1:18" ht="16.5" customHeight="1">
      <c r="A15" s="7" t="s">
        <v>183</v>
      </c>
      <c r="D15">
        <v>11304007</v>
      </c>
      <c r="E15" t="s">
        <v>13</v>
      </c>
      <c r="F15" t="s">
        <v>10</v>
      </c>
      <c r="G15">
        <v>15</v>
      </c>
      <c r="J15" s="4">
        <v>44182</v>
      </c>
      <c r="K15">
        <v>1</v>
      </c>
      <c r="L15">
        <v>20000</v>
      </c>
      <c r="M15">
        <v>46</v>
      </c>
      <c r="N15">
        <f>ROUND(M15/30,0)</f>
        <v>2</v>
      </c>
      <c r="O15">
        <v>13027</v>
      </c>
      <c r="P15">
        <f>ROUND(O15/30,0)</f>
        <v>434</v>
      </c>
      <c r="Q15">
        <f>ROUND(G15/P15,0)</f>
        <v>0</v>
      </c>
      <c r="R15">
        <v>25</v>
      </c>
    </row>
    <row r="16" spans="1:18" ht="16.5" customHeight="1">
      <c r="A16" s="6" t="s">
        <v>182</v>
      </c>
      <c r="D16">
        <v>11304007</v>
      </c>
      <c r="E16" t="s">
        <v>13</v>
      </c>
      <c r="F16" t="s">
        <v>10</v>
      </c>
      <c r="G16">
        <v>22591</v>
      </c>
      <c r="J16" s="4">
        <v>44529</v>
      </c>
      <c r="K16">
        <v>346</v>
      </c>
      <c r="L16">
        <v>20000</v>
      </c>
      <c r="M16">
        <v>46</v>
      </c>
      <c r="N16">
        <f>ROUND(M16/30,0)</f>
        <v>2</v>
      </c>
      <c r="O16">
        <v>13027</v>
      </c>
      <c r="P16">
        <f>ROUND(O16/30,0)</f>
        <v>434</v>
      </c>
      <c r="Q16">
        <f>ROUND(G16/P16,0)</f>
        <v>52</v>
      </c>
      <c r="R16">
        <v>25</v>
      </c>
    </row>
    <row r="17" spans="1:18" ht="16.5" customHeight="1">
      <c r="A17" s="5" t="s">
        <v>182</v>
      </c>
      <c r="D17">
        <v>11304019</v>
      </c>
      <c r="E17" t="s">
        <v>14</v>
      </c>
      <c r="F17" t="s">
        <v>15</v>
      </c>
      <c r="G17">
        <v>856</v>
      </c>
      <c r="J17" s="4">
        <v>44433</v>
      </c>
      <c r="K17">
        <v>250</v>
      </c>
      <c r="M17">
        <v>0</v>
      </c>
      <c r="N17">
        <f>ROUND(M17/30,0)</f>
        <v>0</v>
      </c>
      <c r="O17">
        <v>1117</v>
      </c>
      <c r="P17">
        <f>ROUND(O17/30,0)</f>
        <v>37</v>
      </c>
      <c r="Q17">
        <f>ROUND(G17/P17,0)</f>
        <v>23</v>
      </c>
      <c r="R17">
        <v>25</v>
      </c>
    </row>
    <row r="18" spans="1:18" ht="16.5" customHeight="1">
      <c r="A18" s="6" t="s">
        <v>182</v>
      </c>
      <c r="D18">
        <v>11304021</v>
      </c>
      <c r="E18" t="s">
        <v>16</v>
      </c>
      <c r="F18" t="s">
        <v>10</v>
      </c>
      <c r="G18">
        <v>1940</v>
      </c>
      <c r="J18" s="4">
        <v>44556</v>
      </c>
      <c r="K18">
        <v>373</v>
      </c>
      <c r="M18">
        <v>0</v>
      </c>
      <c r="N18">
        <f>ROUND(M18/30,0)</f>
        <v>0</v>
      </c>
      <c r="O18">
        <v>606</v>
      </c>
      <c r="P18">
        <f>ROUND(O18/30,0)</f>
        <v>20</v>
      </c>
      <c r="Q18">
        <f>ROUND(G18/P18,0)</f>
        <v>97</v>
      </c>
      <c r="R18">
        <v>25</v>
      </c>
    </row>
    <row r="19" spans="1:18" ht="16.5" customHeight="1">
      <c r="A19" s="7" t="s">
        <v>183</v>
      </c>
      <c r="D19">
        <v>11304227</v>
      </c>
      <c r="E19" t="s">
        <v>17</v>
      </c>
      <c r="F19" t="s">
        <v>10</v>
      </c>
      <c r="G19">
        <v>1</v>
      </c>
      <c r="J19" s="4">
        <v>44182</v>
      </c>
      <c r="K19">
        <v>1</v>
      </c>
      <c r="M19">
        <v>0</v>
      </c>
      <c r="N19">
        <f>ROUND(M19/30,0)</f>
        <v>0</v>
      </c>
      <c r="O19">
        <v>14733</v>
      </c>
      <c r="P19">
        <f>ROUND(O19/30,0)</f>
        <v>491</v>
      </c>
      <c r="Q19">
        <f>ROUND(G19/P19,0)</f>
        <v>0</v>
      </c>
      <c r="R19">
        <v>25</v>
      </c>
    </row>
    <row r="20" spans="1:18" ht="16.5" customHeight="1">
      <c r="A20" s="6" t="s">
        <v>182</v>
      </c>
      <c r="D20">
        <v>11304227</v>
      </c>
      <c r="E20" t="s">
        <v>17</v>
      </c>
      <c r="F20" t="s">
        <v>10</v>
      </c>
      <c r="G20">
        <v>18396</v>
      </c>
      <c r="J20" s="4">
        <v>44510</v>
      </c>
      <c r="K20">
        <v>327</v>
      </c>
      <c r="M20">
        <v>0</v>
      </c>
      <c r="N20">
        <f>ROUND(M20/30,0)</f>
        <v>0</v>
      </c>
      <c r="O20">
        <v>14733</v>
      </c>
      <c r="P20">
        <f>ROUND(O20/30,0)</f>
        <v>491</v>
      </c>
      <c r="Q20">
        <f>ROUND(G20/P20,0)</f>
        <v>37</v>
      </c>
      <c r="R20">
        <v>25</v>
      </c>
    </row>
    <row r="21" spans="1:18" ht="16.5" customHeight="1">
      <c r="A21" s="5" t="s">
        <v>182</v>
      </c>
      <c r="D21">
        <v>11305016</v>
      </c>
      <c r="E21" t="s">
        <v>18</v>
      </c>
      <c r="F21" t="s">
        <v>19</v>
      </c>
      <c r="G21">
        <v>741</v>
      </c>
      <c r="J21" s="4">
        <v>44458</v>
      </c>
      <c r="K21">
        <v>275</v>
      </c>
      <c r="M21">
        <v>0</v>
      </c>
      <c r="N21">
        <f>ROUND(M21/30,0)</f>
        <v>0</v>
      </c>
      <c r="O21">
        <v>1179</v>
      </c>
      <c r="P21">
        <f>ROUND(O21/30,0)</f>
        <v>39</v>
      </c>
      <c r="Q21">
        <f>ROUND(G21/P21,0)</f>
        <v>19</v>
      </c>
      <c r="R21">
        <v>25</v>
      </c>
    </row>
    <row r="22" spans="1:18" ht="16.5" customHeight="1">
      <c r="A22" s="5" t="s">
        <v>182</v>
      </c>
      <c r="D22">
        <v>11305018</v>
      </c>
      <c r="E22" t="s">
        <v>20</v>
      </c>
      <c r="F22" t="s">
        <v>21</v>
      </c>
      <c r="G22">
        <v>5352</v>
      </c>
      <c r="J22" s="4">
        <v>44385</v>
      </c>
      <c r="K22">
        <v>202</v>
      </c>
      <c r="M22">
        <v>0</v>
      </c>
      <c r="N22">
        <f>ROUND(M22/30,0)</f>
        <v>0</v>
      </c>
      <c r="P22">
        <f>ROUND(O22/30,0)</f>
        <v>0</v>
      </c>
      <c r="Q22">
        <v>0</v>
      </c>
      <c r="R22">
        <v>30</v>
      </c>
    </row>
    <row r="23" spans="1:18" ht="16.5" customHeight="1">
      <c r="A23" s="5" t="s">
        <v>182</v>
      </c>
      <c r="D23">
        <v>11305018</v>
      </c>
      <c r="E23" t="s">
        <v>20</v>
      </c>
      <c r="F23" t="s">
        <v>21</v>
      </c>
      <c r="G23">
        <v>13224</v>
      </c>
      <c r="J23" s="4">
        <v>44411</v>
      </c>
      <c r="K23">
        <v>228</v>
      </c>
      <c r="M23">
        <v>0</v>
      </c>
      <c r="N23">
        <f>ROUND(M23/30,0)</f>
        <v>0</v>
      </c>
      <c r="P23">
        <f>ROUND(O23/30,0)</f>
        <v>0</v>
      </c>
      <c r="Q23">
        <v>0</v>
      </c>
      <c r="R23">
        <v>30</v>
      </c>
    </row>
    <row r="24" spans="1:18" ht="16.5" customHeight="1">
      <c r="A24" s="7" t="s">
        <v>183</v>
      </c>
      <c r="D24">
        <v>11308001</v>
      </c>
      <c r="E24" t="s">
        <v>22</v>
      </c>
      <c r="F24" t="s">
        <v>10</v>
      </c>
      <c r="G24">
        <v>288</v>
      </c>
      <c r="J24" s="4">
        <v>44331</v>
      </c>
      <c r="K24">
        <v>148</v>
      </c>
      <c r="M24">
        <v>0</v>
      </c>
      <c r="N24">
        <f>ROUND(M24/30,0)</f>
        <v>0</v>
      </c>
      <c r="P24">
        <f>ROUND(O24/30,0)</f>
        <v>0</v>
      </c>
      <c r="Q24">
        <v>0</v>
      </c>
      <c r="R24">
        <v>30</v>
      </c>
    </row>
    <row r="25" spans="1:18" ht="16.5" customHeight="1">
      <c r="A25" s="5" t="s">
        <v>182</v>
      </c>
      <c r="D25">
        <v>11308001</v>
      </c>
      <c r="E25" t="s">
        <v>22</v>
      </c>
      <c r="F25" t="s">
        <v>10</v>
      </c>
      <c r="G25">
        <v>5</v>
      </c>
      <c r="J25" s="4">
        <v>44362</v>
      </c>
      <c r="K25">
        <v>179</v>
      </c>
      <c r="M25">
        <v>0</v>
      </c>
      <c r="N25">
        <f>ROUND(M25/30,0)</f>
        <v>0</v>
      </c>
      <c r="P25">
        <f>ROUND(O25/30,0)</f>
        <v>0</v>
      </c>
      <c r="Q25">
        <v>0</v>
      </c>
      <c r="R25">
        <v>30</v>
      </c>
    </row>
    <row r="26" spans="1:18" ht="16.5" customHeight="1">
      <c r="A26" s="5" t="s">
        <v>182</v>
      </c>
      <c r="D26">
        <v>11308010</v>
      </c>
      <c r="E26" t="s">
        <v>23</v>
      </c>
      <c r="F26" t="s">
        <v>24</v>
      </c>
      <c r="G26">
        <v>972</v>
      </c>
      <c r="J26" s="4">
        <v>44519</v>
      </c>
      <c r="K26">
        <v>336</v>
      </c>
      <c r="M26">
        <v>0</v>
      </c>
      <c r="N26">
        <f>ROUND(M26/30,0)</f>
        <v>0</v>
      </c>
      <c r="P26">
        <f>ROUND(O26/30,0)</f>
        <v>0</v>
      </c>
      <c r="Q26">
        <v>0</v>
      </c>
    </row>
    <row r="27" spans="1:18" ht="16.5" customHeight="1">
      <c r="A27" s="5" t="s">
        <v>182</v>
      </c>
      <c r="D27">
        <v>11308011</v>
      </c>
      <c r="E27" t="s">
        <v>25</v>
      </c>
      <c r="F27" t="s">
        <v>24</v>
      </c>
      <c r="G27">
        <v>816</v>
      </c>
      <c r="J27" s="4">
        <v>44476</v>
      </c>
      <c r="K27">
        <v>293</v>
      </c>
      <c r="M27">
        <v>0</v>
      </c>
      <c r="N27">
        <f>ROUND(M27/30,0)</f>
        <v>0</v>
      </c>
      <c r="P27">
        <f>ROUND(O27/30,0)</f>
        <v>0</v>
      </c>
      <c r="Q27">
        <v>0</v>
      </c>
      <c r="R27">
        <v>30</v>
      </c>
    </row>
    <row r="28" spans="1:18" ht="16.5" customHeight="1">
      <c r="A28" s="5" t="s">
        <v>182</v>
      </c>
      <c r="D28">
        <v>11308013</v>
      </c>
      <c r="E28" t="s">
        <v>26</v>
      </c>
      <c r="F28" t="s">
        <v>24</v>
      </c>
      <c r="G28">
        <v>1836</v>
      </c>
      <c r="J28" s="4">
        <v>44427</v>
      </c>
      <c r="K28">
        <v>244</v>
      </c>
      <c r="M28">
        <v>0</v>
      </c>
      <c r="N28">
        <f>ROUND(M28/30,0)</f>
        <v>0</v>
      </c>
      <c r="P28">
        <f>ROUND(O28/30,0)</f>
        <v>0</v>
      </c>
      <c r="Q28">
        <v>0</v>
      </c>
      <c r="R28">
        <v>30</v>
      </c>
    </row>
    <row r="29" spans="1:18" ht="16.5" customHeight="1">
      <c r="A29" s="5" t="s">
        <v>182</v>
      </c>
      <c r="D29">
        <v>11308014</v>
      </c>
      <c r="E29" t="s">
        <v>27</v>
      </c>
      <c r="F29" t="s">
        <v>24</v>
      </c>
      <c r="G29">
        <v>2808</v>
      </c>
      <c r="J29" s="4">
        <v>44427</v>
      </c>
      <c r="K29">
        <v>244</v>
      </c>
      <c r="M29">
        <v>0</v>
      </c>
      <c r="N29">
        <f>ROUND(M29/30,0)</f>
        <v>0</v>
      </c>
      <c r="P29">
        <f>ROUND(O29/30,0)</f>
        <v>0</v>
      </c>
      <c r="Q29">
        <v>0</v>
      </c>
      <c r="R29">
        <v>30</v>
      </c>
    </row>
    <row r="30" spans="1:18" ht="16.5" customHeight="1">
      <c r="A30" s="5" t="s">
        <v>182</v>
      </c>
      <c r="D30">
        <v>11308014</v>
      </c>
      <c r="E30" t="s">
        <v>27</v>
      </c>
      <c r="F30" t="s">
        <v>24</v>
      </c>
      <c r="G30">
        <v>984</v>
      </c>
      <c r="J30" s="4">
        <v>44519</v>
      </c>
      <c r="K30">
        <v>336</v>
      </c>
      <c r="M30">
        <v>0</v>
      </c>
      <c r="N30">
        <f>ROUND(M30/30,0)</f>
        <v>0</v>
      </c>
      <c r="P30">
        <f>ROUND(O30/30,0)</f>
        <v>0</v>
      </c>
      <c r="Q30">
        <v>0</v>
      </c>
      <c r="R30">
        <v>30</v>
      </c>
    </row>
    <row r="31" spans="1:18" ht="16.5" customHeight="1">
      <c r="A31" s="7" t="s">
        <v>183</v>
      </c>
      <c r="D31">
        <v>11309013</v>
      </c>
      <c r="E31" t="s">
        <v>28</v>
      </c>
      <c r="F31" t="s">
        <v>29</v>
      </c>
      <c r="G31">
        <v>258</v>
      </c>
      <c r="J31" s="4">
        <v>44229</v>
      </c>
      <c r="K31">
        <v>46</v>
      </c>
      <c r="M31">
        <v>0</v>
      </c>
      <c r="N31">
        <f>ROUND(M31/30,0)</f>
        <v>0</v>
      </c>
      <c r="P31">
        <f>ROUND(O31/30,0)</f>
        <v>0</v>
      </c>
      <c r="Q31">
        <v>0</v>
      </c>
    </row>
    <row r="32" spans="1:18" ht="16.5" customHeight="1">
      <c r="A32" s="5" t="s">
        <v>182</v>
      </c>
      <c r="D32">
        <v>11407001</v>
      </c>
      <c r="E32" t="s">
        <v>30</v>
      </c>
      <c r="F32" t="s">
        <v>31</v>
      </c>
      <c r="G32">
        <v>146</v>
      </c>
      <c r="J32" s="4">
        <v>44508</v>
      </c>
      <c r="K32">
        <v>325</v>
      </c>
      <c r="M32">
        <v>0</v>
      </c>
      <c r="N32">
        <f>ROUND(M32/30,0)</f>
        <v>0</v>
      </c>
      <c r="P32">
        <f>ROUND(O32/30,0)</f>
        <v>0</v>
      </c>
      <c r="Q32">
        <v>0</v>
      </c>
      <c r="R32">
        <v>20</v>
      </c>
    </row>
    <row r="33" spans="1:18" ht="16.5" customHeight="1">
      <c r="A33" s="5" t="s">
        <v>182</v>
      </c>
      <c r="D33">
        <v>11407001</v>
      </c>
      <c r="E33" t="s">
        <v>30</v>
      </c>
      <c r="F33" t="s">
        <v>31</v>
      </c>
      <c r="G33">
        <v>300</v>
      </c>
      <c r="J33" s="4">
        <v>44537</v>
      </c>
      <c r="K33">
        <v>354</v>
      </c>
      <c r="M33">
        <v>0</v>
      </c>
      <c r="N33">
        <f>ROUND(M33/30,0)</f>
        <v>0</v>
      </c>
      <c r="P33">
        <f>ROUND(O33/30,0)</f>
        <v>0</v>
      </c>
      <c r="Q33">
        <v>0</v>
      </c>
      <c r="R33">
        <v>20</v>
      </c>
    </row>
    <row r="34" spans="1:18" ht="16.5" customHeight="1">
      <c r="A34" s="6" t="s">
        <v>182</v>
      </c>
      <c r="D34">
        <v>11408009</v>
      </c>
      <c r="E34" t="s">
        <v>32</v>
      </c>
      <c r="F34" t="s">
        <v>33</v>
      </c>
      <c r="G34">
        <v>1362</v>
      </c>
      <c r="J34" s="4">
        <v>44772</v>
      </c>
      <c r="K34">
        <v>589</v>
      </c>
      <c r="M34">
        <v>0</v>
      </c>
      <c r="N34">
        <f>ROUND(M34/30,0)</f>
        <v>0</v>
      </c>
      <c r="O34">
        <v>90</v>
      </c>
      <c r="P34">
        <f>ROUND(O34/30,0)</f>
        <v>3</v>
      </c>
      <c r="Q34">
        <f>ROUND(G34/P34,0)</f>
        <v>454</v>
      </c>
    </row>
    <row r="35" spans="1:18" ht="16.5" customHeight="1">
      <c r="A35" s="6" t="s">
        <v>182</v>
      </c>
      <c r="D35">
        <v>11501007</v>
      </c>
      <c r="E35" t="s">
        <v>34</v>
      </c>
      <c r="F35" t="s">
        <v>3</v>
      </c>
      <c r="G35">
        <v>838</v>
      </c>
      <c r="J35" s="4">
        <v>44480</v>
      </c>
      <c r="K35">
        <v>297</v>
      </c>
      <c r="M35">
        <v>0</v>
      </c>
      <c r="N35">
        <f>ROUND(M35/30,0)</f>
        <v>0</v>
      </c>
      <c r="O35">
        <v>132</v>
      </c>
      <c r="P35">
        <f>ROUND(O35/30,0)</f>
        <v>4</v>
      </c>
      <c r="Q35">
        <f>ROUND(G35/P35,0)</f>
        <v>210</v>
      </c>
      <c r="R35">
        <v>25</v>
      </c>
    </row>
    <row r="36" spans="1:18" ht="16.5" customHeight="1">
      <c r="A36" s="5" t="s">
        <v>182</v>
      </c>
      <c r="D36">
        <v>11501018</v>
      </c>
      <c r="E36" t="s">
        <v>35</v>
      </c>
      <c r="F36" t="s">
        <v>36</v>
      </c>
      <c r="G36">
        <v>120</v>
      </c>
      <c r="J36" s="4">
        <v>44429</v>
      </c>
      <c r="K36">
        <v>246</v>
      </c>
      <c r="M36">
        <v>0</v>
      </c>
      <c r="N36">
        <f>ROUND(M36/30,0)</f>
        <v>0</v>
      </c>
      <c r="P36">
        <f>ROUND(O36/30,0)</f>
        <v>0</v>
      </c>
      <c r="Q36">
        <v>0</v>
      </c>
      <c r="R36">
        <v>25</v>
      </c>
    </row>
    <row r="37" spans="1:18" ht="16.5" customHeight="1">
      <c r="A37" s="5" t="s">
        <v>182</v>
      </c>
      <c r="D37">
        <v>11502014</v>
      </c>
      <c r="E37" t="s">
        <v>37</v>
      </c>
      <c r="F37" t="s">
        <v>31</v>
      </c>
      <c r="G37">
        <v>1380</v>
      </c>
      <c r="J37" s="4">
        <v>44874</v>
      </c>
      <c r="K37">
        <v>691</v>
      </c>
      <c r="M37">
        <v>0</v>
      </c>
      <c r="N37">
        <f>ROUND(M37/30,0)</f>
        <v>0</v>
      </c>
      <c r="O37">
        <v>918</v>
      </c>
      <c r="P37">
        <f>ROUND(O37/30,0)</f>
        <v>31</v>
      </c>
      <c r="Q37">
        <f>ROUND(G37/P37,0)</f>
        <v>45</v>
      </c>
      <c r="R37">
        <v>45</v>
      </c>
    </row>
    <row r="38" spans="1:18" ht="16.5" customHeight="1">
      <c r="A38" s="5" t="s">
        <v>182</v>
      </c>
      <c r="D38">
        <v>11502015</v>
      </c>
      <c r="E38" t="s">
        <v>38</v>
      </c>
      <c r="F38" t="s">
        <v>31</v>
      </c>
      <c r="G38">
        <v>200</v>
      </c>
      <c r="J38" s="4">
        <v>44741</v>
      </c>
      <c r="K38">
        <v>558</v>
      </c>
      <c r="M38">
        <v>0</v>
      </c>
      <c r="N38">
        <f>ROUND(M38/30,0)</f>
        <v>0</v>
      </c>
      <c r="P38">
        <f>ROUND(O38/30,0)</f>
        <v>0</v>
      </c>
      <c r="Q38">
        <v>0</v>
      </c>
      <c r="R38">
        <v>45</v>
      </c>
    </row>
    <row r="39" spans="1:18" ht="16.5" customHeight="1">
      <c r="A39" s="5" t="s">
        <v>182</v>
      </c>
      <c r="D39">
        <v>11502015</v>
      </c>
      <c r="E39" t="s">
        <v>38</v>
      </c>
      <c r="F39" t="s">
        <v>31</v>
      </c>
      <c r="G39">
        <v>756</v>
      </c>
      <c r="J39" s="4">
        <v>44884</v>
      </c>
      <c r="K39">
        <v>701</v>
      </c>
      <c r="M39">
        <v>0</v>
      </c>
      <c r="N39">
        <f>ROUND(M39/30,0)</f>
        <v>0</v>
      </c>
      <c r="P39">
        <f>ROUND(O39/30,0)</f>
        <v>0</v>
      </c>
      <c r="Q39">
        <v>0</v>
      </c>
      <c r="R39">
        <v>45</v>
      </c>
    </row>
    <row r="40" spans="1:18" ht="16.5" customHeight="1">
      <c r="A40" s="5" t="s">
        <v>182</v>
      </c>
      <c r="D40">
        <v>11503010</v>
      </c>
      <c r="E40" t="s">
        <v>39</v>
      </c>
      <c r="F40" t="s">
        <v>15</v>
      </c>
      <c r="G40">
        <v>280</v>
      </c>
      <c r="J40" s="4">
        <v>45127</v>
      </c>
      <c r="K40">
        <v>944</v>
      </c>
      <c r="M40">
        <v>0</v>
      </c>
      <c r="N40">
        <f>ROUND(M40/30,0)</f>
        <v>0</v>
      </c>
      <c r="O40">
        <v>376</v>
      </c>
      <c r="P40">
        <f>ROUND(O40/30,0)</f>
        <v>13</v>
      </c>
      <c r="Q40">
        <f>ROUND(G40/P40,0)</f>
        <v>22</v>
      </c>
      <c r="R40">
        <v>25</v>
      </c>
    </row>
    <row r="41" spans="1:18" ht="16.5" customHeight="1">
      <c r="A41" s="6" t="s">
        <v>182</v>
      </c>
      <c r="D41">
        <v>11503010</v>
      </c>
      <c r="E41" t="s">
        <v>39</v>
      </c>
      <c r="F41" t="s">
        <v>15</v>
      </c>
      <c r="G41">
        <v>1464</v>
      </c>
      <c r="J41" s="4">
        <v>45253</v>
      </c>
      <c r="K41">
        <v>1070</v>
      </c>
      <c r="M41">
        <v>0</v>
      </c>
      <c r="N41">
        <f>ROUND(M41/30,0)</f>
        <v>0</v>
      </c>
      <c r="O41">
        <v>376</v>
      </c>
      <c r="P41">
        <f>ROUND(O41/30,0)</f>
        <v>13</v>
      </c>
      <c r="Q41">
        <f>ROUND(G41/P41,0)</f>
        <v>113</v>
      </c>
      <c r="R41">
        <v>25</v>
      </c>
    </row>
    <row r="42" spans="1:18" ht="16.5" customHeight="1">
      <c r="A42" s="5" t="s">
        <v>182</v>
      </c>
      <c r="D42">
        <v>11504032</v>
      </c>
      <c r="E42" t="s">
        <v>40</v>
      </c>
      <c r="F42" t="s">
        <v>15</v>
      </c>
      <c r="G42">
        <v>738</v>
      </c>
      <c r="J42" s="4">
        <v>44355</v>
      </c>
      <c r="K42">
        <v>172</v>
      </c>
      <c r="M42">
        <v>0</v>
      </c>
      <c r="N42">
        <f>ROUND(M42/30,0)</f>
        <v>0</v>
      </c>
      <c r="P42">
        <f>ROUND(O42/30,0)</f>
        <v>0</v>
      </c>
      <c r="Q42">
        <v>0</v>
      </c>
      <c r="R42">
        <v>25</v>
      </c>
    </row>
    <row r="43" spans="1:18" ht="16.5" customHeight="1">
      <c r="A43" s="5" t="s">
        <v>182</v>
      </c>
      <c r="D43">
        <v>11505004</v>
      </c>
      <c r="E43" t="s">
        <v>41</v>
      </c>
      <c r="F43" t="s">
        <v>42</v>
      </c>
      <c r="G43">
        <v>309</v>
      </c>
      <c r="J43" s="4">
        <v>44757</v>
      </c>
      <c r="K43">
        <v>574</v>
      </c>
      <c r="M43">
        <v>0</v>
      </c>
      <c r="N43">
        <f>ROUND(M43/30,0)</f>
        <v>0</v>
      </c>
      <c r="P43">
        <f>ROUND(O43/30,0)</f>
        <v>0</v>
      </c>
      <c r="Q43">
        <v>0</v>
      </c>
      <c r="R43">
        <v>40</v>
      </c>
    </row>
    <row r="44" spans="1:18" ht="16.5" customHeight="1">
      <c r="A44" s="5" t="s">
        <v>182</v>
      </c>
      <c r="D44">
        <v>11506001</v>
      </c>
      <c r="E44" t="s">
        <v>43</v>
      </c>
      <c r="F44" t="s">
        <v>31</v>
      </c>
      <c r="G44">
        <v>8</v>
      </c>
      <c r="J44" s="4">
        <v>45899</v>
      </c>
      <c r="K44">
        <v>1716</v>
      </c>
      <c r="M44">
        <v>0</v>
      </c>
      <c r="N44">
        <f>ROUND(M44/30,0)</f>
        <v>0</v>
      </c>
      <c r="O44">
        <v>714</v>
      </c>
      <c r="P44">
        <f>ROUND(O44/30,0)</f>
        <v>24</v>
      </c>
      <c r="Q44">
        <f>ROUND(G44/P44,0)</f>
        <v>0</v>
      </c>
      <c r="R44">
        <v>40</v>
      </c>
    </row>
    <row r="45" spans="1:18" ht="16.5" customHeight="1">
      <c r="A45" s="5" t="s">
        <v>182</v>
      </c>
      <c r="D45">
        <v>11507036</v>
      </c>
      <c r="E45" t="s">
        <v>44</v>
      </c>
      <c r="F45" t="s">
        <v>33</v>
      </c>
      <c r="G45">
        <v>79</v>
      </c>
      <c r="J45" s="4">
        <v>45142</v>
      </c>
      <c r="K45">
        <v>959</v>
      </c>
      <c r="M45">
        <v>0</v>
      </c>
      <c r="N45">
        <f>ROUND(M45/30,0)</f>
        <v>0</v>
      </c>
      <c r="O45">
        <v>56</v>
      </c>
      <c r="P45">
        <f>ROUND(O45/30,0)</f>
        <v>2</v>
      </c>
      <c r="Q45">
        <f>ROUND(G45/P45,0)</f>
        <v>40</v>
      </c>
      <c r="R45">
        <v>30</v>
      </c>
    </row>
    <row r="46" spans="1:18" ht="16.5" customHeight="1">
      <c r="A46" s="6" t="s">
        <v>182</v>
      </c>
      <c r="D46">
        <v>11601029</v>
      </c>
      <c r="E46" t="s">
        <v>45</v>
      </c>
      <c r="F46" t="s">
        <v>31</v>
      </c>
      <c r="G46">
        <v>850</v>
      </c>
      <c r="J46" s="4">
        <v>44764</v>
      </c>
      <c r="K46">
        <v>581</v>
      </c>
      <c r="L46">
        <v>660</v>
      </c>
      <c r="M46">
        <v>52</v>
      </c>
      <c r="N46">
        <f>ROUND(M46/30,0)</f>
        <v>2</v>
      </c>
      <c r="O46">
        <v>384</v>
      </c>
      <c r="P46">
        <f>ROUND(O46/30,0)</f>
        <v>13</v>
      </c>
      <c r="Q46">
        <f>ROUND(G46/P46,0)</f>
        <v>65</v>
      </c>
      <c r="R46">
        <v>30</v>
      </c>
    </row>
    <row r="47" spans="1:18" ht="16.5" customHeight="1">
      <c r="A47" s="6" t="s">
        <v>182</v>
      </c>
      <c r="D47">
        <v>11601029</v>
      </c>
      <c r="E47" t="s">
        <v>45</v>
      </c>
      <c r="F47" t="s">
        <v>31</v>
      </c>
      <c r="G47">
        <v>1656</v>
      </c>
      <c r="J47" s="4">
        <v>44818</v>
      </c>
      <c r="K47">
        <v>635</v>
      </c>
      <c r="L47">
        <v>660</v>
      </c>
      <c r="M47">
        <v>52</v>
      </c>
      <c r="N47">
        <f>ROUND(M47/30,0)</f>
        <v>2</v>
      </c>
      <c r="O47">
        <v>384</v>
      </c>
      <c r="P47">
        <f>ROUND(O47/30,0)</f>
        <v>13</v>
      </c>
      <c r="Q47">
        <f>ROUND(G47/P47,0)</f>
        <v>127</v>
      </c>
      <c r="R47">
        <v>30</v>
      </c>
    </row>
    <row r="48" spans="1:18" ht="16.5" customHeight="1">
      <c r="A48" s="5" t="s">
        <v>182</v>
      </c>
      <c r="D48">
        <v>11601030</v>
      </c>
      <c r="E48" t="s">
        <v>46</v>
      </c>
      <c r="F48" t="s">
        <v>31</v>
      </c>
      <c r="G48">
        <v>650</v>
      </c>
      <c r="J48" s="4">
        <v>44841</v>
      </c>
      <c r="K48">
        <v>658</v>
      </c>
      <c r="L48">
        <v>660</v>
      </c>
      <c r="M48">
        <v>18</v>
      </c>
      <c r="N48">
        <f>ROUND(M48/30,0)</f>
        <v>1</v>
      </c>
      <c r="O48">
        <v>1084</v>
      </c>
      <c r="P48">
        <f>ROUND(O48/30,0)</f>
        <v>36</v>
      </c>
      <c r="Q48">
        <f>ROUND(G48/P48,0)</f>
        <v>18</v>
      </c>
      <c r="R48">
        <v>30</v>
      </c>
    </row>
    <row r="49" spans="1:18" ht="16.5" customHeight="1">
      <c r="A49" s="5" t="s">
        <v>182</v>
      </c>
      <c r="D49">
        <v>11601030</v>
      </c>
      <c r="E49" t="s">
        <v>46</v>
      </c>
      <c r="F49" t="s">
        <v>31</v>
      </c>
      <c r="G49">
        <v>576</v>
      </c>
      <c r="J49" s="4">
        <v>44868</v>
      </c>
      <c r="K49">
        <v>685</v>
      </c>
      <c r="L49">
        <v>660</v>
      </c>
      <c r="M49">
        <v>18</v>
      </c>
      <c r="N49">
        <f>ROUND(M49/30,0)</f>
        <v>1</v>
      </c>
      <c r="O49">
        <v>1084</v>
      </c>
      <c r="P49">
        <f>ROUND(O49/30,0)</f>
        <v>36</v>
      </c>
      <c r="Q49">
        <f>ROUND(G49/P49,0)</f>
        <v>16</v>
      </c>
      <c r="R49">
        <v>30</v>
      </c>
    </row>
    <row r="50" spans="1:18" ht="16.5" customHeight="1">
      <c r="A50" s="5" t="s">
        <v>182</v>
      </c>
      <c r="D50">
        <v>11601034</v>
      </c>
      <c r="E50" t="s">
        <v>47</v>
      </c>
      <c r="F50" t="s">
        <v>31</v>
      </c>
      <c r="G50">
        <v>139</v>
      </c>
      <c r="J50" s="4">
        <v>44688</v>
      </c>
      <c r="K50">
        <v>505</v>
      </c>
      <c r="L50">
        <v>660</v>
      </c>
      <c r="M50">
        <v>28</v>
      </c>
      <c r="N50">
        <f>ROUND(M50/30,0)</f>
        <v>1</v>
      </c>
      <c r="O50">
        <v>704</v>
      </c>
      <c r="P50">
        <f>ROUND(O50/30,0)</f>
        <v>23</v>
      </c>
      <c r="Q50">
        <f>ROUND(G50/P50,0)</f>
        <v>6</v>
      </c>
      <c r="R50">
        <v>30</v>
      </c>
    </row>
    <row r="51" spans="1:18" ht="16.5" customHeight="1">
      <c r="A51" s="5" t="s">
        <v>182</v>
      </c>
      <c r="D51">
        <v>11601034</v>
      </c>
      <c r="E51" t="s">
        <v>47</v>
      </c>
      <c r="F51" t="s">
        <v>31</v>
      </c>
      <c r="G51">
        <v>552</v>
      </c>
      <c r="J51" s="4">
        <v>44804</v>
      </c>
      <c r="K51">
        <v>621</v>
      </c>
      <c r="L51">
        <v>660</v>
      </c>
      <c r="M51">
        <v>28</v>
      </c>
      <c r="N51">
        <f>ROUND(M51/30,0)</f>
        <v>1</v>
      </c>
      <c r="O51">
        <v>704</v>
      </c>
      <c r="P51">
        <f>ROUND(O51/30,0)</f>
        <v>23</v>
      </c>
      <c r="Q51">
        <f>ROUND(G51/P51,0)</f>
        <v>24</v>
      </c>
      <c r="R51">
        <v>30</v>
      </c>
    </row>
    <row r="52" spans="1:18" ht="16.5" customHeight="1">
      <c r="A52" s="6" t="s">
        <v>182</v>
      </c>
      <c r="D52">
        <v>11601034</v>
      </c>
      <c r="E52" t="s">
        <v>47</v>
      </c>
      <c r="F52" t="s">
        <v>31</v>
      </c>
      <c r="G52">
        <v>1848</v>
      </c>
      <c r="J52" s="4">
        <v>44890</v>
      </c>
      <c r="K52">
        <v>707</v>
      </c>
      <c r="L52">
        <v>660</v>
      </c>
      <c r="M52">
        <v>28</v>
      </c>
      <c r="N52">
        <f>ROUND(M52/30,0)</f>
        <v>1</v>
      </c>
      <c r="O52">
        <v>704</v>
      </c>
      <c r="P52">
        <f>ROUND(O52/30,0)</f>
        <v>23</v>
      </c>
      <c r="Q52">
        <f>ROUND(G52/P52,0)</f>
        <v>80</v>
      </c>
      <c r="R52">
        <v>30</v>
      </c>
    </row>
    <row r="53" spans="1:18" ht="16.5" customHeight="1">
      <c r="A53" s="5" t="s">
        <v>182</v>
      </c>
      <c r="D53">
        <v>11602032</v>
      </c>
      <c r="E53" t="s">
        <v>48</v>
      </c>
      <c r="F53" t="s">
        <v>15</v>
      </c>
      <c r="G53">
        <v>1260</v>
      </c>
      <c r="J53" s="4">
        <v>44496</v>
      </c>
      <c r="K53">
        <v>313</v>
      </c>
      <c r="M53">
        <v>0</v>
      </c>
      <c r="N53">
        <f>ROUND(M53/30,0)</f>
        <v>0</v>
      </c>
      <c r="P53">
        <f>ROUND(O53/30,0)</f>
        <v>0</v>
      </c>
      <c r="Q53">
        <v>0</v>
      </c>
    </row>
    <row r="54" spans="1:18" ht="16.5" customHeight="1">
      <c r="A54" s="5" t="s">
        <v>182</v>
      </c>
      <c r="D54">
        <v>11606002</v>
      </c>
      <c r="E54" t="s">
        <v>49</v>
      </c>
      <c r="F54" t="s">
        <v>10</v>
      </c>
      <c r="G54">
        <v>1054</v>
      </c>
      <c r="J54" s="4">
        <v>44520</v>
      </c>
      <c r="K54">
        <v>337</v>
      </c>
      <c r="L54">
        <v>2400</v>
      </c>
      <c r="M54">
        <v>17</v>
      </c>
      <c r="N54">
        <f>ROUND(M54/30,0)</f>
        <v>1</v>
      </c>
      <c r="O54">
        <v>4324</v>
      </c>
      <c r="P54">
        <f>ROUND(O54/30,0)</f>
        <v>144</v>
      </c>
      <c r="Q54">
        <f>ROUND(G54/P54,0)</f>
        <v>7</v>
      </c>
      <c r="R54">
        <v>30</v>
      </c>
    </row>
    <row r="55" spans="1:18" ht="16.5" customHeight="1">
      <c r="A55" s="5" t="s">
        <v>182</v>
      </c>
      <c r="D55">
        <v>11606002</v>
      </c>
      <c r="E55" t="s">
        <v>49</v>
      </c>
      <c r="F55" t="s">
        <v>10</v>
      </c>
      <c r="G55">
        <v>4224</v>
      </c>
      <c r="J55" s="4">
        <v>44541</v>
      </c>
      <c r="K55">
        <v>358</v>
      </c>
      <c r="L55">
        <v>2400</v>
      </c>
      <c r="M55">
        <v>17</v>
      </c>
      <c r="N55">
        <f>ROUND(M55/30,0)</f>
        <v>1</v>
      </c>
      <c r="O55">
        <v>4324</v>
      </c>
      <c r="P55">
        <f>ROUND(O55/30,0)</f>
        <v>144</v>
      </c>
      <c r="Q55">
        <f>ROUND(G55/P55,0)</f>
        <v>29</v>
      </c>
      <c r="R55">
        <v>30</v>
      </c>
    </row>
    <row r="56" spans="1:18" ht="16.5" customHeight="1">
      <c r="A56" s="6" t="s">
        <v>182</v>
      </c>
      <c r="D56">
        <v>11606005</v>
      </c>
      <c r="E56" t="s">
        <v>50</v>
      </c>
      <c r="F56" t="s">
        <v>10</v>
      </c>
      <c r="G56">
        <v>1840</v>
      </c>
      <c r="J56" s="4">
        <v>44520</v>
      </c>
      <c r="K56">
        <v>337</v>
      </c>
      <c r="L56">
        <v>2400</v>
      </c>
      <c r="M56">
        <v>56</v>
      </c>
      <c r="N56">
        <f>ROUND(M56/30,0)</f>
        <v>2</v>
      </c>
      <c r="O56">
        <v>1280</v>
      </c>
      <c r="P56">
        <f>ROUND(O56/30,0)</f>
        <v>43</v>
      </c>
      <c r="Q56">
        <f>ROUND(G56/P56,0)</f>
        <v>43</v>
      </c>
      <c r="R56">
        <v>30</v>
      </c>
    </row>
    <row r="57" spans="1:18" ht="16.5" customHeight="1">
      <c r="A57" s="5" t="s">
        <v>182</v>
      </c>
      <c r="D57">
        <v>11606007</v>
      </c>
      <c r="E57" t="s">
        <v>51</v>
      </c>
      <c r="F57" t="s">
        <v>10</v>
      </c>
      <c r="G57">
        <v>320</v>
      </c>
      <c r="J57" s="4">
        <v>44455</v>
      </c>
      <c r="K57">
        <v>272</v>
      </c>
      <c r="M57">
        <v>0</v>
      </c>
      <c r="N57">
        <f>ROUND(M57/30,0)</f>
        <v>0</v>
      </c>
      <c r="P57">
        <f>ROUND(O57/30,0)</f>
        <v>0</v>
      </c>
      <c r="Q57">
        <v>0</v>
      </c>
      <c r="R57">
        <v>30</v>
      </c>
    </row>
    <row r="58" spans="1:18" ht="16.5" customHeight="1">
      <c r="A58" s="5" t="s">
        <v>182</v>
      </c>
      <c r="D58">
        <v>11606007</v>
      </c>
      <c r="E58" t="s">
        <v>51</v>
      </c>
      <c r="F58" t="s">
        <v>10</v>
      </c>
      <c r="G58">
        <v>1200</v>
      </c>
      <c r="J58" s="4">
        <v>44541</v>
      </c>
      <c r="K58">
        <v>358</v>
      </c>
      <c r="M58">
        <v>0</v>
      </c>
      <c r="N58">
        <f>ROUND(M58/30,0)</f>
        <v>0</v>
      </c>
      <c r="P58">
        <f>ROUND(O58/30,0)</f>
        <v>0</v>
      </c>
      <c r="Q58">
        <v>0</v>
      </c>
      <c r="R58">
        <v>30</v>
      </c>
    </row>
    <row r="59" spans="1:18" ht="16.5" customHeight="1">
      <c r="A59" s="6" t="s">
        <v>182</v>
      </c>
      <c r="D59">
        <v>11702022</v>
      </c>
      <c r="E59" t="s">
        <v>52</v>
      </c>
      <c r="F59" t="s">
        <v>53</v>
      </c>
      <c r="G59">
        <v>1702</v>
      </c>
      <c r="J59" s="4">
        <v>44637</v>
      </c>
      <c r="K59">
        <v>454</v>
      </c>
      <c r="M59">
        <v>0</v>
      </c>
      <c r="N59">
        <f>ROUND(M59/30,0)</f>
        <v>0</v>
      </c>
      <c r="O59">
        <v>503</v>
      </c>
      <c r="P59">
        <f>ROUND(O59/30,0)</f>
        <v>17</v>
      </c>
      <c r="Q59">
        <f>ROUND(G59/P59,0)</f>
        <v>100</v>
      </c>
      <c r="R59">
        <v>40</v>
      </c>
    </row>
    <row r="60" spans="1:18" ht="16.5" customHeight="1">
      <c r="A60" s="5" t="s">
        <v>182</v>
      </c>
      <c r="D60">
        <v>11702023</v>
      </c>
      <c r="E60" t="s">
        <v>54</v>
      </c>
      <c r="F60" t="s">
        <v>19</v>
      </c>
      <c r="G60">
        <v>402</v>
      </c>
      <c r="J60" s="4">
        <v>44672</v>
      </c>
      <c r="K60">
        <v>489</v>
      </c>
      <c r="M60">
        <v>0</v>
      </c>
      <c r="N60">
        <f>ROUND(M60/30,0)</f>
        <v>0</v>
      </c>
      <c r="O60">
        <v>248</v>
      </c>
      <c r="P60">
        <f>ROUND(O60/30,0)</f>
        <v>8</v>
      </c>
      <c r="Q60">
        <f>ROUND(G60/P60,0)</f>
        <v>50</v>
      </c>
      <c r="R60">
        <v>40</v>
      </c>
    </row>
    <row r="61" spans="1:18" ht="16.5" customHeight="1">
      <c r="A61" s="5" t="s">
        <v>182</v>
      </c>
      <c r="D61">
        <v>11702024</v>
      </c>
      <c r="E61" t="s">
        <v>55</v>
      </c>
      <c r="F61" t="s">
        <v>19</v>
      </c>
      <c r="G61">
        <v>458</v>
      </c>
      <c r="J61" s="4">
        <v>44699</v>
      </c>
      <c r="K61">
        <v>516</v>
      </c>
      <c r="M61">
        <v>0</v>
      </c>
      <c r="N61">
        <f>ROUND(M61/30,0)</f>
        <v>0</v>
      </c>
      <c r="P61">
        <f>ROUND(O61/30,0)</f>
        <v>0</v>
      </c>
      <c r="Q61">
        <v>0</v>
      </c>
      <c r="R61">
        <v>40</v>
      </c>
    </row>
    <row r="62" spans="1:18" ht="16.5" customHeight="1">
      <c r="A62" s="6" t="s">
        <v>182</v>
      </c>
      <c r="D62">
        <v>11702037</v>
      </c>
      <c r="E62" t="s">
        <v>56</v>
      </c>
      <c r="F62" t="s">
        <v>53</v>
      </c>
      <c r="G62">
        <v>177</v>
      </c>
      <c r="J62" s="4">
        <v>44775</v>
      </c>
      <c r="K62">
        <v>592</v>
      </c>
      <c r="M62">
        <v>0</v>
      </c>
      <c r="N62">
        <f>ROUND(M62/30,0)</f>
        <v>0</v>
      </c>
      <c r="O62">
        <v>70</v>
      </c>
      <c r="P62">
        <f>ROUND(O62/30,0)</f>
        <v>2</v>
      </c>
      <c r="Q62">
        <f>ROUND(G62/P62,0)</f>
        <v>89</v>
      </c>
      <c r="R62">
        <v>40</v>
      </c>
    </row>
    <row r="63" spans="1:18" ht="16.5" customHeight="1">
      <c r="A63" s="6" t="s">
        <v>182</v>
      </c>
      <c r="D63">
        <v>11704003</v>
      </c>
      <c r="E63" t="s">
        <v>57</v>
      </c>
      <c r="F63" t="s">
        <v>3</v>
      </c>
      <c r="G63">
        <v>864</v>
      </c>
      <c r="J63" s="4">
        <v>44494</v>
      </c>
      <c r="K63">
        <v>311</v>
      </c>
      <c r="M63">
        <v>0</v>
      </c>
      <c r="N63">
        <f>ROUND(M63/30,0)</f>
        <v>0</v>
      </c>
      <c r="O63">
        <v>596</v>
      </c>
      <c r="P63">
        <f>ROUND(O63/30,0)</f>
        <v>20</v>
      </c>
      <c r="Q63">
        <f>ROUND(G63/P63,0)</f>
        <v>43</v>
      </c>
      <c r="R63">
        <v>25</v>
      </c>
    </row>
    <row r="64" spans="1:18" ht="16.5" customHeight="1">
      <c r="A64" s="6" t="s">
        <v>182</v>
      </c>
      <c r="D64">
        <v>11704005</v>
      </c>
      <c r="E64" t="s">
        <v>58</v>
      </c>
      <c r="F64" t="s">
        <v>3</v>
      </c>
      <c r="G64">
        <v>316</v>
      </c>
      <c r="J64" s="4">
        <v>44518</v>
      </c>
      <c r="K64">
        <v>335</v>
      </c>
      <c r="M64">
        <v>0</v>
      </c>
      <c r="N64">
        <f>ROUND(M64/30,0)</f>
        <v>0</v>
      </c>
      <c r="O64">
        <v>186</v>
      </c>
      <c r="P64">
        <f>ROUND(O64/30,0)</f>
        <v>6</v>
      </c>
      <c r="Q64">
        <f>ROUND(G64/P64,0)</f>
        <v>53</v>
      </c>
      <c r="R64">
        <v>25</v>
      </c>
    </row>
    <row r="65" spans="1:18" ht="16.5" customHeight="1">
      <c r="A65" s="5" t="s">
        <v>182</v>
      </c>
      <c r="D65">
        <v>11704006</v>
      </c>
      <c r="E65" t="s">
        <v>59</v>
      </c>
      <c r="F65" t="s">
        <v>53</v>
      </c>
      <c r="G65">
        <v>106</v>
      </c>
      <c r="J65" s="4">
        <v>44526</v>
      </c>
      <c r="K65">
        <v>343</v>
      </c>
      <c r="M65">
        <v>0</v>
      </c>
      <c r="N65">
        <f>ROUND(M65/30,0)</f>
        <v>0</v>
      </c>
      <c r="O65">
        <v>385</v>
      </c>
      <c r="P65">
        <f>ROUND(O65/30,0)</f>
        <v>13</v>
      </c>
      <c r="Q65">
        <f>ROUND(G65/P65,0)</f>
        <v>8</v>
      </c>
      <c r="R65">
        <v>40</v>
      </c>
    </row>
    <row r="66" spans="1:18" ht="16.5" customHeight="1">
      <c r="A66" s="5" t="s">
        <v>182</v>
      </c>
      <c r="D66">
        <v>11704006</v>
      </c>
      <c r="E66" t="s">
        <v>59</v>
      </c>
      <c r="F66" t="s">
        <v>53</v>
      </c>
      <c r="G66">
        <v>546</v>
      </c>
      <c r="J66" s="4">
        <v>44539</v>
      </c>
      <c r="K66">
        <v>356</v>
      </c>
      <c r="M66">
        <v>0</v>
      </c>
      <c r="N66">
        <f>ROUND(M66/30,0)</f>
        <v>0</v>
      </c>
      <c r="O66">
        <v>385</v>
      </c>
      <c r="P66">
        <f>ROUND(O66/30,0)</f>
        <v>13</v>
      </c>
      <c r="Q66">
        <f>ROUND(G66/P66,0)</f>
        <v>42</v>
      </c>
      <c r="R66">
        <v>40</v>
      </c>
    </row>
    <row r="67" spans="1:18" ht="16.5" customHeight="1">
      <c r="A67" s="5" t="s">
        <v>182</v>
      </c>
      <c r="D67">
        <v>11704101</v>
      </c>
      <c r="E67" t="s">
        <v>60</v>
      </c>
      <c r="F67" t="s">
        <v>15</v>
      </c>
      <c r="G67">
        <v>857</v>
      </c>
      <c r="J67" s="4">
        <v>44524</v>
      </c>
      <c r="K67">
        <v>341</v>
      </c>
      <c r="M67">
        <v>0</v>
      </c>
      <c r="N67">
        <f>ROUND(M67/30,0)</f>
        <v>0</v>
      </c>
      <c r="O67">
        <v>722</v>
      </c>
      <c r="P67">
        <f>ROUND(O67/30,0)</f>
        <v>24</v>
      </c>
      <c r="Q67">
        <f>ROUND(G67/P67,0)</f>
        <v>36</v>
      </c>
      <c r="R67">
        <v>40</v>
      </c>
    </row>
    <row r="68" spans="1:18" ht="16.5" customHeight="1">
      <c r="A68" s="5" t="s">
        <v>182</v>
      </c>
      <c r="D68">
        <v>11704114</v>
      </c>
      <c r="E68" t="s">
        <v>61</v>
      </c>
      <c r="F68" t="s">
        <v>15</v>
      </c>
      <c r="G68">
        <v>1193</v>
      </c>
      <c r="J68" s="4">
        <v>44526</v>
      </c>
      <c r="K68">
        <v>343</v>
      </c>
      <c r="M68">
        <v>0</v>
      </c>
      <c r="N68">
        <f>ROUND(M68/30,0)</f>
        <v>0</v>
      </c>
      <c r="O68">
        <v>770</v>
      </c>
      <c r="P68">
        <f>ROUND(O68/30,0)</f>
        <v>26</v>
      </c>
      <c r="Q68">
        <f>ROUND(G68/P68,0)</f>
        <v>46</v>
      </c>
      <c r="R68">
        <v>40</v>
      </c>
    </row>
    <row r="69" spans="1:18" ht="16.5" customHeight="1">
      <c r="A69" s="5" t="s">
        <v>182</v>
      </c>
      <c r="D69">
        <v>11704133</v>
      </c>
      <c r="E69" t="s">
        <v>62</v>
      </c>
      <c r="F69" t="s">
        <v>63</v>
      </c>
      <c r="G69">
        <v>78</v>
      </c>
      <c r="J69" s="4">
        <v>44456</v>
      </c>
      <c r="K69">
        <v>273</v>
      </c>
      <c r="M69">
        <v>0</v>
      </c>
      <c r="N69">
        <f>ROUND(M69/30,0)</f>
        <v>0</v>
      </c>
      <c r="O69">
        <v>157</v>
      </c>
      <c r="P69">
        <f>ROUND(O69/30,0)</f>
        <v>5</v>
      </c>
      <c r="Q69">
        <f>ROUND(G69/P69,0)</f>
        <v>16</v>
      </c>
      <c r="R69">
        <v>30</v>
      </c>
    </row>
    <row r="70" spans="1:18" ht="16.5" customHeight="1">
      <c r="A70" s="5" t="s">
        <v>182</v>
      </c>
      <c r="D70">
        <v>11704137</v>
      </c>
      <c r="E70" t="s">
        <v>64</v>
      </c>
      <c r="F70" t="s">
        <v>24</v>
      </c>
      <c r="G70">
        <v>287</v>
      </c>
      <c r="J70" s="4">
        <v>44517</v>
      </c>
      <c r="K70">
        <v>334</v>
      </c>
      <c r="M70">
        <v>0</v>
      </c>
      <c r="N70">
        <f>ROUND(M70/30,0)</f>
        <v>0</v>
      </c>
      <c r="O70">
        <v>266</v>
      </c>
      <c r="P70">
        <f>ROUND(O70/30,0)</f>
        <v>9</v>
      </c>
      <c r="Q70">
        <f>ROUND(G70/P70,0)</f>
        <v>32</v>
      </c>
      <c r="R70">
        <v>30</v>
      </c>
    </row>
    <row r="71" spans="1:18" ht="16.5" customHeight="1">
      <c r="A71" s="5" t="s">
        <v>182</v>
      </c>
      <c r="D71">
        <v>11704153</v>
      </c>
      <c r="E71" t="s">
        <v>65</v>
      </c>
      <c r="F71" t="s">
        <v>66</v>
      </c>
      <c r="G71">
        <v>75</v>
      </c>
      <c r="J71" s="4">
        <v>44460</v>
      </c>
      <c r="K71">
        <v>277</v>
      </c>
      <c r="M71">
        <v>0</v>
      </c>
      <c r="N71">
        <f>ROUND(M71/30,0)</f>
        <v>0</v>
      </c>
      <c r="P71">
        <f>ROUND(O71/30,0)</f>
        <v>0</v>
      </c>
      <c r="Q71">
        <v>0</v>
      </c>
      <c r="R71">
        <v>40</v>
      </c>
    </row>
    <row r="72" spans="1:18" ht="16.5" customHeight="1">
      <c r="A72" s="5" t="s">
        <v>182</v>
      </c>
      <c r="D72">
        <v>11704153</v>
      </c>
      <c r="E72" t="s">
        <v>65</v>
      </c>
      <c r="F72" t="s">
        <v>66</v>
      </c>
      <c r="G72">
        <v>592</v>
      </c>
      <c r="J72" s="4">
        <v>44517</v>
      </c>
      <c r="K72">
        <v>334</v>
      </c>
      <c r="M72">
        <v>0</v>
      </c>
      <c r="N72">
        <f>ROUND(M72/30,0)</f>
        <v>0</v>
      </c>
      <c r="P72">
        <f>ROUND(O72/30,0)</f>
        <v>0</v>
      </c>
      <c r="Q72">
        <v>0</v>
      </c>
      <c r="R72">
        <v>40</v>
      </c>
    </row>
    <row r="73" spans="1:18" ht="16.5" customHeight="1">
      <c r="A73" s="6" t="s">
        <v>182</v>
      </c>
      <c r="D73">
        <v>11801018</v>
      </c>
      <c r="E73" t="s">
        <v>67</v>
      </c>
      <c r="F73" t="s">
        <v>10</v>
      </c>
      <c r="G73">
        <v>1151</v>
      </c>
      <c r="J73" s="4">
        <v>44513</v>
      </c>
      <c r="K73">
        <v>330</v>
      </c>
      <c r="M73">
        <v>0</v>
      </c>
      <c r="N73">
        <f>ROUND(M73/30,0)</f>
        <v>0</v>
      </c>
      <c r="O73">
        <v>232</v>
      </c>
      <c r="P73">
        <f>ROUND(O73/30,0)</f>
        <v>8</v>
      </c>
      <c r="Q73">
        <f>ROUND(G73/P73,0)</f>
        <v>144</v>
      </c>
      <c r="R73">
        <v>30</v>
      </c>
    </row>
    <row r="74" spans="1:18" ht="16.5" customHeight="1">
      <c r="A74" s="6" t="s">
        <v>182</v>
      </c>
      <c r="D74">
        <v>11803005</v>
      </c>
      <c r="E74" t="s">
        <v>68</v>
      </c>
      <c r="F74" t="s">
        <v>10</v>
      </c>
      <c r="G74">
        <v>270</v>
      </c>
      <c r="J74" s="4">
        <v>44484</v>
      </c>
      <c r="K74">
        <v>301</v>
      </c>
      <c r="M74">
        <v>0</v>
      </c>
      <c r="N74">
        <f>ROUND(M74/30,0)</f>
        <v>0</v>
      </c>
      <c r="O74">
        <v>53</v>
      </c>
      <c r="P74">
        <f>ROUND(O74/30,0)</f>
        <v>2</v>
      </c>
      <c r="Q74">
        <f>ROUND(G74/P74,0)</f>
        <v>135</v>
      </c>
      <c r="R74">
        <v>25</v>
      </c>
    </row>
    <row r="75" spans="1:18" ht="16.5" customHeight="1">
      <c r="A75" s="6" t="s">
        <v>182</v>
      </c>
      <c r="D75">
        <v>11901002</v>
      </c>
      <c r="E75" t="s">
        <v>69</v>
      </c>
      <c r="F75" t="s">
        <v>3</v>
      </c>
      <c r="G75">
        <v>342</v>
      </c>
      <c r="J75" s="4">
        <v>44656</v>
      </c>
      <c r="K75">
        <v>473</v>
      </c>
      <c r="M75">
        <v>0</v>
      </c>
      <c r="N75">
        <f>ROUND(M75/30,0)</f>
        <v>0</v>
      </c>
      <c r="O75">
        <v>262</v>
      </c>
      <c r="P75">
        <f>ROUND(O75/30,0)</f>
        <v>9</v>
      </c>
      <c r="Q75">
        <f>ROUND(G75/P75,0)</f>
        <v>38</v>
      </c>
      <c r="R75">
        <v>25</v>
      </c>
    </row>
    <row r="76" spans="1:18" ht="16.5" customHeight="1">
      <c r="A76" s="6" t="s">
        <v>182</v>
      </c>
      <c r="D76">
        <v>11901002</v>
      </c>
      <c r="E76" t="s">
        <v>69</v>
      </c>
      <c r="F76" t="s">
        <v>3</v>
      </c>
      <c r="G76">
        <v>948</v>
      </c>
      <c r="J76" s="4">
        <v>44715</v>
      </c>
      <c r="K76">
        <v>532</v>
      </c>
      <c r="M76">
        <v>0</v>
      </c>
      <c r="N76">
        <f>ROUND(M76/30,0)</f>
        <v>0</v>
      </c>
      <c r="O76">
        <v>262</v>
      </c>
      <c r="P76">
        <f>ROUND(O76/30,0)</f>
        <v>9</v>
      </c>
      <c r="Q76">
        <f>ROUND(G76/P76,0)</f>
        <v>105</v>
      </c>
      <c r="R76">
        <v>25</v>
      </c>
    </row>
    <row r="77" spans="1:18" ht="16.5" customHeight="1">
      <c r="A77" s="5" t="s">
        <v>182</v>
      </c>
      <c r="D77">
        <v>11901008</v>
      </c>
      <c r="E77" t="s">
        <v>70</v>
      </c>
      <c r="F77" t="s">
        <v>10</v>
      </c>
      <c r="G77">
        <v>1157</v>
      </c>
      <c r="J77" s="4">
        <v>44454</v>
      </c>
      <c r="K77">
        <v>271</v>
      </c>
      <c r="M77">
        <v>0</v>
      </c>
      <c r="N77">
        <f>ROUND(M77/30,0)</f>
        <v>0</v>
      </c>
      <c r="O77">
        <v>1812</v>
      </c>
      <c r="P77">
        <f>ROUND(O77/30,0)</f>
        <v>60</v>
      </c>
      <c r="Q77">
        <f>ROUND(G77/P77,0)</f>
        <v>19</v>
      </c>
      <c r="R77">
        <v>25</v>
      </c>
    </row>
    <row r="78" spans="1:18" ht="16.5" customHeight="1">
      <c r="A78" s="6" t="s">
        <v>182</v>
      </c>
      <c r="D78">
        <v>11902006</v>
      </c>
      <c r="E78" t="s">
        <v>71</v>
      </c>
      <c r="F78" t="s">
        <v>3</v>
      </c>
      <c r="G78">
        <v>234</v>
      </c>
      <c r="J78" s="4">
        <v>44461</v>
      </c>
      <c r="K78">
        <v>278</v>
      </c>
      <c r="M78">
        <v>0</v>
      </c>
      <c r="N78">
        <f>ROUND(M78/30,0)</f>
        <v>0</v>
      </c>
      <c r="O78">
        <v>136</v>
      </c>
      <c r="P78">
        <f>ROUND(O78/30,0)</f>
        <v>5</v>
      </c>
      <c r="Q78">
        <f>ROUND(G78/P78,0)</f>
        <v>47</v>
      </c>
      <c r="R78">
        <v>18</v>
      </c>
    </row>
    <row r="79" spans="1:18" ht="16.5" customHeight="1">
      <c r="A79" s="5" t="s">
        <v>182</v>
      </c>
      <c r="D79">
        <v>11902007</v>
      </c>
      <c r="E79" t="s">
        <v>72</v>
      </c>
      <c r="F79" t="s">
        <v>3</v>
      </c>
      <c r="G79">
        <v>53</v>
      </c>
      <c r="J79" s="4">
        <v>44474</v>
      </c>
      <c r="K79">
        <v>291</v>
      </c>
      <c r="M79">
        <v>0</v>
      </c>
      <c r="N79">
        <f>ROUND(M79/30,0)</f>
        <v>0</v>
      </c>
      <c r="O79">
        <v>70</v>
      </c>
      <c r="P79">
        <f>ROUND(O79/30,0)</f>
        <v>2</v>
      </c>
      <c r="Q79">
        <f>ROUND(G79/P79,0)</f>
        <v>27</v>
      </c>
      <c r="R79">
        <v>18</v>
      </c>
    </row>
    <row r="80" spans="1:18" ht="16.5" customHeight="1">
      <c r="A80" s="6" t="s">
        <v>182</v>
      </c>
      <c r="D80">
        <v>11902007</v>
      </c>
      <c r="E80" t="s">
        <v>72</v>
      </c>
      <c r="F80" t="s">
        <v>3</v>
      </c>
      <c r="G80">
        <v>228</v>
      </c>
      <c r="J80" s="4">
        <v>44537</v>
      </c>
      <c r="K80">
        <v>354</v>
      </c>
      <c r="M80">
        <v>0</v>
      </c>
      <c r="N80">
        <f>ROUND(M80/30,0)</f>
        <v>0</v>
      </c>
      <c r="O80">
        <v>70</v>
      </c>
      <c r="P80">
        <f>ROUND(O80/30,0)</f>
        <v>2</v>
      </c>
      <c r="Q80">
        <f>ROUND(G80/P80,0)</f>
        <v>114</v>
      </c>
      <c r="R80">
        <v>18</v>
      </c>
    </row>
    <row r="81" spans="1:18" ht="16.5" customHeight="1">
      <c r="A81" s="5" t="s">
        <v>182</v>
      </c>
      <c r="D81">
        <v>11902015</v>
      </c>
      <c r="E81" t="s">
        <v>73</v>
      </c>
      <c r="F81" t="s">
        <v>15</v>
      </c>
      <c r="G81">
        <v>995</v>
      </c>
      <c r="J81" s="4">
        <v>44465</v>
      </c>
      <c r="K81">
        <v>282</v>
      </c>
      <c r="M81">
        <v>0</v>
      </c>
      <c r="N81">
        <f>ROUND(M81/30,0)</f>
        <v>0</v>
      </c>
      <c r="O81">
        <v>1173</v>
      </c>
      <c r="P81">
        <f>ROUND(O81/30,0)</f>
        <v>39</v>
      </c>
      <c r="Q81">
        <f>ROUND(G81/P81,0)</f>
        <v>26</v>
      </c>
      <c r="R81">
        <v>30</v>
      </c>
    </row>
    <row r="82" spans="1:18" ht="16.5" customHeight="1">
      <c r="A82" s="6" t="s">
        <v>182</v>
      </c>
      <c r="D82">
        <v>11904005</v>
      </c>
      <c r="E82" t="s">
        <v>74</v>
      </c>
      <c r="F82" t="s">
        <v>3</v>
      </c>
      <c r="G82">
        <v>174</v>
      </c>
      <c r="J82" s="4">
        <v>44491</v>
      </c>
      <c r="K82">
        <v>308</v>
      </c>
      <c r="M82">
        <v>0</v>
      </c>
      <c r="N82">
        <f>ROUND(M82/30,0)</f>
        <v>0</v>
      </c>
      <c r="O82">
        <v>105</v>
      </c>
      <c r="P82">
        <f>ROUND(O82/30,0)</f>
        <v>4</v>
      </c>
      <c r="Q82">
        <f>ROUND(G82/P82,0)</f>
        <v>44</v>
      </c>
      <c r="R82">
        <v>18</v>
      </c>
    </row>
    <row r="83" spans="1:18" ht="16.5" customHeight="1">
      <c r="A83" s="6" t="s">
        <v>182</v>
      </c>
      <c r="D83">
        <v>11904005</v>
      </c>
      <c r="E83" t="s">
        <v>74</v>
      </c>
      <c r="F83" t="s">
        <v>3</v>
      </c>
      <c r="G83">
        <v>300</v>
      </c>
      <c r="J83" s="4">
        <v>44543</v>
      </c>
      <c r="K83">
        <v>360</v>
      </c>
      <c r="M83">
        <v>0</v>
      </c>
      <c r="N83">
        <f>ROUND(M83/30,0)</f>
        <v>0</v>
      </c>
      <c r="O83">
        <v>105</v>
      </c>
      <c r="P83">
        <f>ROUND(O83/30,0)</f>
        <v>4</v>
      </c>
      <c r="Q83">
        <f>ROUND(G83/P83,0)</f>
        <v>75</v>
      </c>
      <c r="R83">
        <v>18</v>
      </c>
    </row>
    <row r="84" spans="1:18" ht="16.5" customHeight="1">
      <c r="A84" s="5" t="s">
        <v>182</v>
      </c>
      <c r="D84">
        <v>11904010</v>
      </c>
      <c r="E84" t="s">
        <v>75</v>
      </c>
      <c r="F84" t="s">
        <v>3</v>
      </c>
      <c r="G84">
        <v>11</v>
      </c>
      <c r="J84" s="4">
        <v>44474</v>
      </c>
      <c r="K84">
        <v>291</v>
      </c>
      <c r="M84">
        <v>0</v>
      </c>
      <c r="N84">
        <f>ROUND(M84/30,0)</f>
        <v>0</v>
      </c>
      <c r="O84">
        <v>42</v>
      </c>
      <c r="P84">
        <f>ROUND(O84/30,0)</f>
        <v>1</v>
      </c>
      <c r="Q84">
        <f>ROUND(G84/P84,0)</f>
        <v>11</v>
      </c>
      <c r="R84">
        <v>18</v>
      </c>
    </row>
    <row r="85" spans="1:18" ht="16.5" customHeight="1">
      <c r="A85" s="6" t="s">
        <v>182</v>
      </c>
      <c r="D85">
        <v>11904010</v>
      </c>
      <c r="E85" t="s">
        <v>75</v>
      </c>
      <c r="F85" t="s">
        <v>3</v>
      </c>
      <c r="G85">
        <v>180</v>
      </c>
      <c r="J85" s="4">
        <v>44505</v>
      </c>
      <c r="K85">
        <v>322</v>
      </c>
      <c r="M85">
        <v>0</v>
      </c>
      <c r="N85">
        <f>ROUND(M85/30,0)</f>
        <v>0</v>
      </c>
      <c r="O85">
        <v>42</v>
      </c>
      <c r="P85">
        <f>ROUND(O85/30,0)</f>
        <v>1</v>
      </c>
      <c r="Q85">
        <f>ROUND(G85/P85,0)</f>
        <v>180</v>
      </c>
      <c r="R85">
        <v>18</v>
      </c>
    </row>
    <row r="86" spans="1:18" ht="16.5" customHeight="1">
      <c r="A86" s="5" t="s">
        <v>182</v>
      </c>
      <c r="D86">
        <v>11904012</v>
      </c>
      <c r="E86" t="s">
        <v>76</v>
      </c>
      <c r="F86" t="s">
        <v>3</v>
      </c>
      <c r="G86">
        <v>24</v>
      </c>
      <c r="J86" s="4">
        <v>44431</v>
      </c>
      <c r="K86">
        <v>248</v>
      </c>
      <c r="M86">
        <v>0</v>
      </c>
      <c r="N86">
        <f>ROUND(M86/30,0)</f>
        <v>0</v>
      </c>
      <c r="O86">
        <v>156</v>
      </c>
      <c r="P86">
        <f>ROUND(O86/30,0)</f>
        <v>5</v>
      </c>
      <c r="Q86">
        <f>ROUND(G86/P86,0)</f>
        <v>5</v>
      </c>
      <c r="R86">
        <v>18</v>
      </c>
    </row>
    <row r="87" spans="1:18" ht="16.5" customHeight="1">
      <c r="A87" s="6" t="s">
        <v>182</v>
      </c>
      <c r="D87">
        <v>11904012</v>
      </c>
      <c r="E87" t="s">
        <v>76</v>
      </c>
      <c r="F87" t="s">
        <v>3</v>
      </c>
      <c r="G87">
        <v>594</v>
      </c>
      <c r="J87" s="4">
        <v>44518</v>
      </c>
      <c r="K87">
        <v>335</v>
      </c>
      <c r="M87">
        <v>0</v>
      </c>
      <c r="N87">
        <f>ROUND(M87/30,0)</f>
        <v>0</v>
      </c>
      <c r="O87">
        <v>156</v>
      </c>
      <c r="P87">
        <f>ROUND(O87/30,0)</f>
        <v>5</v>
      </c>
      <c r="Q87">
        <f>ROUND(G87/P87,0)</f>
        <v>119</v>
      </c>
      <c r="R87">
        <v>18</v>
      </c>
    </row>
    <row r="88" spans="1:18" ht="16.5" customHeight="1">
      <c r="A88" s="6" t="s">
        <v>182</v>
      </c>
      <c r="D88">
        <v>11904014</v>
      </c>
      <c r="E88" t="s">
        <v>77</v>
      </c>
      <c r="F88" t="s">
        <v>3</v>
      </c>
      <c r="G88">
        <v>137</v>
      </c>
      <c r="J88" s="4">
        <v>44503</v>
      </c>
      <c r="K88">
        <v>320</v>
      </c>
      <c r="M88">
        <v>0</v>
      </c>
      <c r="N88">
        <f>ROUND(M88/30,0)</f>
        <v>0</v>
      </c>
      <c r="O88">
        <v>69</v>
      </c>
      <c r="P88">
        <f>ROUND(O88/30,0)</f>
        <v>2</v>
      </c>
      <c r="Q88">
        <f>ROUND(G88/P88,0)</f>
        <v>69</v>
      </c>
      <c r="R88">
        <v>18</v>
      </c>
    </row>
    <row r="89" spans="1:18" ht="16.5" customHeight="1">
      <c r="A89" s="6" t="s">
        <v>182</v>
      </c>
      <c r="D89">
        <v>11904014</v>
      </c>
      <c r="E89" t="s">
        <v>77</v>
      </c>
      <c r="F89" t="s">
        <v>3</v>
      </c>
      <c r="G89">
        <v>180</v>
      </c>
      <c r="J89" s="4">
        <v>44543</v>
      </c>
      <c r="K89">
        <v>360</v>
      </c>
      <c r="M89">
        <v>0</v>
      </c>
      <c r="N89">
        <f>ROUND(M89/30,0)</f>
        <v>0</v>
      </c>
      <c r="O89">
        <v>69</v>
      </c>
      <c r="P89">
        <f>ROUND(O89/30,0)</f>
        <v>2</v>
      </c>
      <c r="Q89">
        <f>ROUND(G89/P89,0)</f>
        <v>90</v>
      </c>
      <c r="R89">
        <v>18</v>
      </c>
    </row>
    <row r="90" spans="1:18" ht="16.5" customHeight="1">
      <c r="A90" s="6" t="s">
        <v>182</v>
      </c>
      <c r="D90">
        <v>11904016</v>
      </c>
      <c r="E90" t="s">
        <v>78</v>
      </c>
      <c r="F90" t="s">
        <v>3</v>
      </c>
      <c r="G90">
        <v>95</v>
      </c>
      <c r="J90" s="4">
        <v>44406</v>
      </c>
      <c r="K90">
        <v>223</v>
      </c>
      <c r="M90">
        <v>0</v>
      </c>
      <c r="N90">
        <f>ROUND(M90/30,0)</f>
        <v>0</v>
      </c>
      <c r="O90">
        <v>59</v>
      </c>
      <c r="P90">
        <f>ROUND(O90/30,0)</f>
        <v>2</v>
      </c>
      <c r="Q90">
        <f>ROUND(G90/P90,0)</f>
        <v>48</v>
      </c>
      <c r="R90">
        <v>25</v>
      </c>
    </row>
    <row r="91" spans="1:18" ht="16.5" customHeight="1">
      <c r="A91" s="6" t="s">
        <v>182</v>
      </c>
      <c r="D91">
        <v>11904080</v>
      </c>
      <c r="E91" t="s">
        <v>79</v>
      </c>
      <c r="F91" t="s">
        <v>53</v>
      </c>
      <c r="G91">
        <v>213</v>
      </c>
      <c r="J91" s="4">
        <v>44403</v>
      </c>
      <c r="K91">
        <v>220</v>
      </c>
      <c r="M91">
        <v>0</v>
      </c>
      <c r="N91">
        <f>ROUND(M91/30,0)</f>
        <v>0</v>
      </c>
      <c r="O91">
        <v>119</v>
      </c>
      <c r="P91">
        <f>ROUND(O91/30,0)</f>
        <v>4</v>
      </c>
      <c r="Q91">
        <f>ROUND(G91/P91,0)</f>
        <v>53</v>
      </c>
      <c r="R91">
        <v>25</v>
      </c>
    </row>
    <row r="92" spans="1:18" ht="16.5" customHeight="1">
      <c r="A92" s="5" t="s">
        <v>182</v>
      </c>
      <c r="D92">
        <v>11904089</v>
      </c>
      <c r="E92" t="s">
        <v>80</v>
      </c>
      <c r="F92" t="s">
        <v>10</v>
      </c>
      <c r="G92">
        <v>2397</v>
      </c>
      <c r="J92" s="4">
        <v>44536</v>
      </c>
      <c r="K92">
        <v>353</v>
      </c>
      <c r="M92">
        <v>0</v>
      </c>
      <c r="N92">
        <f>ROUND(M92/30,0)</f>
        <v>0</v>
      </c>
      <c r="P92">
        <f>ROUND(O92/30,0)</f>
        <v>0</v>
      </c>
      <c r="Q92">
        <v>0</v>
      </c>
      <c r="R92">
        <v>25</v>
      </c>
    </row>
    <row r="93" spans="1:18" ht="16.5" customHeight="1">
      <c r="A93" s="7" t="s">
        <v>183</v>
      </c>
      <c r="D93">
        <v>11904095</v>
      </c>
      <c r="E93" t="s">
        <v>81</v>
      </c>
      <c r="F93" t="s">
        <v>82</v>
      </c>
      <c r="G93">
        <v>5792</v>
      </c>
      <c r="J93">
        <v>20211122</v>
      </c>
      <c r="K93">
        <v>0</v>
      </c>
      <c r="M93">
        <v>0</v>
      </c>
      <c r="N93">
        <f>ROUND(M93/30,0)</f>
        <v>0</v>
      </c>
      <c r="P93">
        <f>ROUND(O93/30,0)</f>
        <v>0</v>
      </c>
      <c r="Q93">
        <v>0</v>
      </c>
      <c r="R93">
        <v>30</v>
      </c>
    </row>
    <row r="94" spans="1:18" ht="16.5" customHeight="1">
      <c r="A94" s="5" t="s">
        <v>182</v>
      </c>
      <c r="D94">
        <v>11904096</v>
      </c>
      <c r="E94" t="s">
        <v>83</v>
      </c>
      <c r="F94" t="s">
        <v>15</v>
      </c>
      <c r="G94">
        <v>554</v>
      </c>
      <c r="J94" s="4">
        <v>44526</v>
      </c>
      <c r="K94">
        <v>343</v>
      </c>
      <c r="M94">
        <v>0</v>
      </c>
      <c r="N94">
        <f>ROUND(M94/30,0)</f>
        <v>0</v>
      </c>
      <c r="P94">
        <f>ROUND(O94/30,0)</f>
        <v>0</v>
      </c>
      <c r="Q94">
        <v>0</v>
      </c>
      <c r="R94">
        <v>25</v>
      </c>
    </row>
    <row r="95" spans="1:18" ht="16.5" customHeight="1">
      <c r="A95" s="5" t="s">
        <v>182</v>
      </c>
      <c r="D95">
        <v>11905005</v>
      </c>
      <c r="E95" t="s">
        <v>84</v>
      </c>
      <c r="F95" t="s">
        <v>85</v>
      </c>
      <c r="G95">
        <v>2</v>
      </c>
      <c r="J95" s="4">
        <v>44428</v>
      </c>
      <c r="K95">
        <v>245</v>
      </c>
      <c r="M95">
        <v>0</v>
      </c>
      <c r="N95">
        <f>ROUND(M95/30,0)</f>
        <v>0</v>
      </c>
      <c r="P95">
        <f>ROUND(O95/30,0)</f>
        <v>0</v>
      </c>
      <c r="Q95">
        <v>0</v>
      </c>
      <c r="R95">
        <v>18</v>
      </c>
    </row>
    <row r="96" spans="1:18" ht="16.5" customHeight="1">
      <c r="A96" s="5" t="s">
        <v>182</v>
      </c>
      <c r="D96">
        <v>11905005</v>
      </c>
      <c r="E96" t="s">
        <v>84</v>
      </c>
      <c r="F96" t="s">
        <v>85</v>
      </c>
      <c r="G96">
        <v>20</v>
      </c>
      <c r="J96" s="4">
        <v>44538</v>
      </c>
      <c r="K96">
        <v>355</v>
      </c>
      <c r="M96">
        <v>0</v>
      </c>
      <c r="N96">
        <f>ROUND(M96/30,0)</f>
        <v>0</v>
      </c>
      <c r="P96">
        <f>ROUND(O96/30,0)</f>
        <v>0</v>
      </c>
      <c r="Q96">
        <v>0</v>
      </c>
      <c r="R96">
        <v>18</v>
      </c>
    </row>
    <row r="97" spans="1:18" ht="16.5" customHeight="1">
      <c r="A97" s="5" t="s">
        <v>182</v>
      </c>
      <c r="D97">
        <v>11905008</v>
      </c>
      <c r="E97" t="s">
        <v>86</v>
      </c>
      <c r="F97" t="s">
        <v>3</v>
      </c>
      <c r="G97">
        <v>147</v>
      </c>
      <c r="J97" s="4">
        <v>44531</v>
      </c>
      <c r="K97">
        <v>348</v>
      </c>
      <c r="M97">
        <v>0</v>
      </c>
      <c r="N97">
        <f>ROUND(M97/30,0)</f>
        <v>0</v>
      </c>
      <c r="O97">
        <v>198</v>
      </c>
      <c r="P97">
        <f>ROUND(O97/30,0)</f>
        <v>7</v>
      </c>
      <c r="Q97">
        <f>ROUND(G97/P97,0)</f>
        <v>21</v>
      </c>
      <c r="R97">
        <v>18</v>
      </c>
    </row>
    <row r="98" spans="1:18" ht="16.5" customHeight="1">
      <c r="A98" s="6" t="s">
        <v>182</v>
      </c>
      <c r="D98">
        <v>11905008</v>
      </c>
      <c r="E98" t="s">
        <v>86</v>
      </c>
      <c r="F98" t="s">
        <v>3</v>
      </c>
      <c r="G98">
        <v>300</v>
      </c>
      <c r="J98" s="4">
        <v>44543</v>
      </c>
      <c r="K98">
        <v>360</v>
      </c>
      <c r="M98">
        <v>0</v>
      </c>
      <c r="N98">
        <f>ROUND(M98/30,0)</f>
        <v>0</v>
      </c>
      <c r="O98">
        <v>198</v>
      </c>
      <c r="P98">
        <f>ROUND(O98/30,0)</f>
        <v>7</v>
      </c>
      <c r="Q98">
        <f>ROUND(G98/P98,0)</f>
        <v>43</v>
      </c>
      <c r="R98">
        <v>18</v>
      </c>
    </row>
    <row r="99" spans="1:18" ht="16.5" customHeight="1">
      <c r="A99" s="5" t="s">
        <v>182</v>
      </c>
      <c r="D99">
        <v>11906001</v>
      </c>
      <c r="E99" t="s">
        <v>87</v>
      </c>
      <c r="F99" t="s">
        <v>3</v>
      </c>
      <c r="G99">
        <v>60</v>
      </c>
      <c r="J99" s="4">
        <v>44453</v>
      </c>
      <c r="K99">
        <v>270</v>
      </c>
      <c r="M99">
        <v>0</v>
      </c>
      <c r="N99">
        <f>ROUND(M99/30,0)</f>
        <v>0</v>
      </c>
      <c r="O99">
        <v>215</v>
      </c>
      <c r="P99">
        <f>ROUND(O99/30,0)</f>
        <v>7</v>
      </c>
      <c r="Q99">
        <f>ROUND(G99/P99,0)</f>
        <v>9</v>
      </c>
      <c r="R99">
        <v>18</v>
      </c>
    </row>
    <row r="100" spans="1:18" ht="16.5" customHeight="1">
      <c r="A100" s="6" t="s">
        <v>182</v>
      </c>
      <c r="D100">
        <v>11906001</v>
      </c>
      <c r="E100" t="s">
        <v>87</v>
      </c>
      <c r="F100" t="s">
        <v>3</v>
      </c>
      <c r="G100">
        <v>300</v>
      </c>
      <c r="J100" s="4">
        <v>44543</v>
      </c>
      <c r="K100">
        <v>360</v>
      </c>
      <c r="M100">
        <v>0</v>
      </c>
      <c r="N100">
        <f>ROUND(M100/30,0)</f>
        <v>0</v>
      </c>
      <c r="O100">
        <v>215</v>
      </c>
      <c r="P100">
        <f>ROUND(O100/30,0)</f>
        <v>7</v>
      </c>
      <c r="Q100">
        <f>ROUND(G100/P100,0)</f>
        <v>43</v>
      </c>
      <c r="R100">
        <v>18</v>
      </c>
    </row>
    <row r="101" spans="1:18" ht="16.5" customHeight="1">
      <c r="A101" s="5" t="s">
        <v>182</v>
      </c>
      <c r="D101">
        <v>11906010</v>
      </c>
      <c r="E101" t="s">
        <v>88</v>
      </c>
      <c r="F101" t="s">
        <v>3</v>
      </c>
      <c r="G101">
        <v>2</v>
      </c>
      <c r="J101" s="4">
        <v>44434</v>
      </c>
      <c r="K101">
        <v>251</v>
      </c>
      <c r="M101">
        <v>0</v>
      </c>
      <c r="N101">
        <f>ROUND(M101/30,0)</f>
        <v>0</v>
      </c>
      <c r="O101">
        <v>91</v>
      </c>
      <c r="P101">
        <f>ROUND(O101/30,0)</f>
        <v>3</v>
      </c>
      <c r="Q101">
        <f>ROUND(G101/P101,0)</f>
        <v>1</v>
      </c>
      <c r="R101">
        <v>18</v>
      </c>
    </row>
    <row r="102" spans="1:18" ht="16.5" customHeight="1">
      <c r="A102" s="6" t="s">
        <v>182</v>
      </c>
      <c r="D102">
        <v>11906010</v>
      </c>
      <c r="E102" t="s">
        <v>88</v>
      </c>
      <c r="F102" t="s">
        <v>3</v>
      </c>
      <c r="G102">
        <v>174</v>
      </c>
      <c r="J102" s="4">
        <v>44480</v>
      </c>
      <c r="K102">
        <v>297</v>
      </c>
      <c r="M102">
        <v>0</v>
      </c>
      <c r="N102">
        <f>ROUND(M102/30,0)</f>
        <v>0</v>
      </c>
      <c r="O102">
        <v>91</v>
      </c>
      <c r="P102">
        <f>ROUND(O102/30,0)</f>
        <v>3</v>
      </c>
      <c r="Q102">
        <f>ROUND(G102/P102,0)</f>
        <v>58</v>
      </c>
      <c r="R102">
        <v>18</v>
      </c>
    </row>
    <row r="103" spans="1:18" ht="16.5" customHeight="1">
      <c r="A103" s="6" t="s">
        <v>182</v>
      </c>
      <c r="D103">
        <v>11906010</v>
      </c>
      <c r="E103" t="s">
        <v>88</v>
      </c>
      <c r="F103" t="s">
        <v>3</v>
      </c>
      <c r="G103">
        <v>300</v>
      </c>
      <c r="J103" s="4">
        <v>44543</v>
      </c>
      <c r="K103">
        <v>360</v>
      </c>
      <c r="M103">
        <v>0</v>
      </c>
      <c r="N103">
        <f>ROUND(M103/30,0)</f>
        <v>0</v>
      </c>
      <c r="O103">
        <v>91</v>
      </c>
      <c r="P103">
        <f>ROUND(O103/30,0)</f>
        <v>3</v>
      </c>
      <c r="Q103">
        <f>ROUND(G103/P103,0)</f>
        <v>100</v>
      </c>
      <c r="R103">
        <v>18</v>
      </c>
    </row>
    <row r="104" spans="1:18" ht="16.5" customHeight="1">
      <c r="A104" s="5" t="s">
        <v>182</v>
      </c>
      <c r="D104">
        <v>11906014</v>
      </c>
      <c r="E104" t="s">
        <v>89</v>
      </c>
      <c r="F104" t="s">
        <v>3</v>
      </c>
      <c r="G104">
        <v>102</v>
      </c>
      <c r="J104" s="4">
        <v>44515</v>
      </c>
      <c r="K104">
        <v>332</v>
      </c>
      <c r="M104">
        <v>0</v>
      </c>
      <c r="N104">
        <f>ROUND(M104/30,0)</f>
        <v>0</v>
      </c>
      <c r="O104">
        <v>643</v>
      </c>
      <c r="P104">
        <f>ROUND(O104/30,0)</f>
        <v>21</v>
      </c>
      <c r="Q104">
        <f>ROUND(G104/P104,0)</f>
        <v>5</v>
      </c>
      <c r="R104">
        <v>18</v>
      </c>
    </row>
    <row r="105" spans="1:18" ht="16.5" customHeight="1">
      <c r="A105" s="5" t="s">
        <v>182</v>
      </c>
      <c r="D105">
        <v>11906014</v>
      </c>
      <c r="E105" t="s">
        <v>89</v>
      </c>
      <c r="F105" t="s">
        <v>3</v>
      </c>
      <c r="G105">
        <v>480</v>
      </c>
      <c r="J105" s="4">
        <v>44531</v>
      </c>
      <c r="K105">
        <v>348</v>
      </c>
      <c r="M105">
        <v>0</v>
      </c>
      <c r="N105">
        <f>ROUND(M105/30,0)</f>
        <v>0</v>
      </c>
      <c r="O105">
        <v>643</v>
      </c>
      <c r="P105">
        <f>ROUND(O105/30,0)</f>
        <v>21</v>
      </c>
      <c r="Q105">
        <f>ROUND(G105/P105,0)</f>
        <v>23</v>
      </c>
      <c r="R105">
        <v>18</v>
      </c>
    </row>
    <row r="106" spans="1:18" ht="16.5" customHeight="1">
      <c r="A106" s="5" t="s">
        <v>182</v>
      </c>
      <c r="D106">
        <v>11906015</v>
      </c>
      <c r="E106" t="s">
        <v>90</v>
      </c>
      <c r="F106" t="s">
        <v>3</v>
      </c>
      <c r="G106">
        <v>107</v>
      </c>
      <c r="J106" s="4">
        <v>44483</v>
      </c>
      <c r="K106">
        <v>300</v>
      </c>
      <c r="M106">
        <v>0</v>
      </c>
      <c r="N106">
        <f>ROUND(M106/30,0)</f>
        <v>0</v>
      </c>
      <c r="O106">
        <v>232</v>
      </c>
      <c r="P106">
        <f>ROUND(O106/30,0)</f>
        <v>8</v>
      </c>
      <c r="Q106">
        <f>ROUND(G106/P106,0)</f>
        <v>13</v>
      </c>
      <c r="R106">
        <v>25</v>
      </c>
    </row>
    <row r="107" spans="1:18" ht="16.5" customHeight="1">
      <c r="A107" s="6" t="s">
        <v>182</v>
      </c>
      <c r="D107">
        <v>11906015</v>
      </c>
      <c r="E107" t="s">
        <v>90</v>
      </c>
      <c r="F107" t="s">
        <v>3</v>
      </c>
      <c r="G107">
        <v>810</v>
      </c>
      <c r="J107" s="4">
        <v>44518</v>
      </c>
      <c r="K107">
        <v>335</v>
      </c>
      <c r="M107">
        <v>0</v>
      </c>
      <c r="N107">
        <f>ROUND(M107/30,0)</f>
        <v>0</v>
      </c>
      <c r="O107">
        <v>232</v>
      </c>
      <c r="P107">
        <f>ROUND(O107/30,0)</f>
        <v>8</v>
      </c>
      <c r="Q107">
        <f>ROUND(G107/P107,0)</f>
        <v>101</v>
      </c>
      <c r="R107">
        <v>25</v>
      </c>
    </row>
    <row r="108" spans="1:18" ht="16.5" customHeight="1">
      <c r="A108" s="6" t="s">
        <v>182</v>
      </c>
      <c r="D108">
        <v>11906017</v>
      </c>
      <c r="E108" t="s">
        <v>91</v>
      </c>
      <c r="F108" t="s">
        <v>3</v>
      </c>
      <c r="G108">
        <v>226</v>
      </c>
      <c r="J108" s="4">
        <v>44519</v>
      </c>
      <c r="K108">
        <v>336</v>
      </c>
      <c r="M108">
        <v>0</v>
      </c>
      <c r="N108">
        <f>ROUND(M108/30,0)</f>
        <v>0</v>
      </c>
      <c r="O108">
        <v>131</v>
      </c>
      <c r="P108">
        <f>ROUND(O108/30,0)</f>
        <v>4</v>
      </c>
      <c r="Q108">
        <f>ROUND(G108/P108,0)</f>
        <v>57</v>
      </c>
      <c r="R108">
        <v>18</v>
      </c>
    </row>
    <row r="109" spans="1:18" ht="16.5" customHeight="1">
      <c r="A109" s="6" t="s">
        <v>182</v>
      </c>
      <c r="D109">
        <v>11906018</v>
      </c>
      <c r="E109" t="s">
        <v>92</v>
      </c>
      <c r="F109" t="s">
        <v>3</v>
      </c>
      <c r="G109">
        <v>204</v>
      </c>
      <c r="J109" s="4">
        <v>44516</v>
      </c>
      <c r="K109">
        <v>333</v>
      </c>
      <c r="M109">
        <v>0</v>
      </c>
      <c r="N109">
        <f>ROUND(M109/30,0)</f>
        <v>0</v>
      </c>
      <c r="O109">
        <v>159</v>
      </c>
      <c r="P109">
        <f>ROUND(O109/30,0)</f>
        <v>5</v>
      </c>
      <c r="Q109">
        <f>ROUND(G109/P109,0)</f>
        <v>41</v>
      </c>
      <c r="R109">
        <v>18</v>
      </c>
    </row>
    <row r="110" spans="1:18" ht="16.5" customHeight="1">
      <c r="A110" s="6" t="s">
        <v>182</v>
      </c>
      <c r="D110">
        <v>11906019</v>
      </c>
      <c r="E110" t="s">
        <v>93</v>
      </c>
      <c r="F110" t="s">
        <v>3</v>
      </c>
      <c r="G110">
        <v>270</v>
      </c>
      <c r="J110" s="4">
        <v>44519</v>
      </c>
      <c r="K110">
        <v>336</v>
      </c>
      <c r="M110">
        <v>0</v>
      </c>
      <c r="N110">
        <f>ROUND(M110/30,0)</f>
        <v>0</v>
      </c>
      <c r="O110">
        <v>69</v>
      </c>
      <c r="P110">
        <f>ROUND(O110/30,0)</f>
        <v>2</v>
      </c>
      <c r="Q110">
        <f>ROUND(G110/P110,0)</f>
        <v>135</v>
      </c>
      <c r="R110">
        <v>25</v>
      </c>
    </row>
    <row r="111" spans="1:18" ht="16.5" customHeight="1">
      <c r="A111" s="5" t="s">
        <v>182</v>
      </c>
      <c r="D111">
        <v>11906020</v>
      </c>
      <c r="E111" t="s">
        <v>94</v>
      </c>
      <c r="F111" t="s">
        <v>3</v>
      </c>
      <c r="G111">
        <v>78</v>
      </c>
      <c r="J111" s="4">
        <v>44515</v>
      </c>
      <c r="K111">
        <v>332</v>
      </c>
      <c r="M111">
        <v>0</v>
      </c>
      <c r="N111">
        <f>ROUND(M111/30,0)</f>
        <v>0</v>
      </c>
      <c r="O111">
        <v>276</v>
      </c>
      <c r="P111">
        <f>ROUND(O111/30,0)</f>
        <v>9</v>
      </c>
      <c r="Q111">
        <f>ROUND(G111/P111,0)</f>
        <v>9</v>
      </c>
      <c r="R111">
        <v>18</v>
      </c>
    </row>
    <row r="112" spans="1:18" ht="16.5" customHeight="1">
      <c r="A112" s="6" t="s">
        <v>182</v>
      </c>
      <c r="D112">
        <v>11906020</v>
      </c>
      <c r="E112" t="s">
        <v>94</v>
      </c>
      <c r="F112" t="s">
        <v>3</v>
      </c>
      <c r="G112">
        <v>270</v>
      </c>
      <c r="J112" s="4">
        <v>44537</v>
      </c>
      <c r="K112">
        <v>354</v>
      </c>
      <c r="M112">
        <v>0</v>
      </c>
      <c r="N112">
        <f>ROUND(M112/30,0)</f>
        <v>0</v>
      </c>
      <c r="O112">
        <v>276</v>
      </c>
      <c r="P112">
        <f>ROUND(O112/30,0)</f>
        <v>9</v>
      </c>
      <c r="Q112">
        <f>ROUND(G112/P112,0)</f>
        <v>30</v>
      </c>
      <c r="R112">
        <v>18</v>
      </c>
    </row>
    <row r="113" spans="1:18" ht="16.5" customHeight="1">
      <c r="A113" s="6" t="s">
        <v>182</v>
      </c>
      <c r="D113">
        <v>11906021</v>
      </c>
      <c r="E113" t="s">
        <v>95</v>
      </c>
      <c r="F113" t="s">
        <v>53</v>
      </c>
      <c r="G113">
        <v>518</v>
      </c>
      <c r="J113" s="4">
        <v>44696</v>
      </c>
      <c r="K113">
        <v>513</v>
      </c>
      <c r="L113">
        <v>600</v>
      </c>
      <c r="M113">
        <v>89</v>
      </c>
      <c r="N113">
        <f>ROUND(M113/30,0)</f>
        <v>3</v>
      </c>
      <c r="O113">
        <v>202</v>
      </c>
      <c r="P113">
        <f>ROUND(O113/30,0)</f>
        <v>7</v>
      </c>
      <c r="Q113">
        <f>ROUND(G113/P113,0)</f>
        <v>74</v>
      </c>
      <c r="R113">
        <v>30</v>
      </c>
    </row>
    <row r="114" spans="1:18" ht="16.5" customHeight="1">
      <c r="A114" s="6" t="s">
        <v>182</v>
      </c>
      <c r="D114">
        <v>11907010</v>
      </c>
      <c r="E114" t="s">
        <v>96</v>
      </c>
      <c r="F114" t="s">
        <v>15</v>
      </c>
      <c r="G114">
        <v>770</v>
      </c>
      <c r="J114" s="4">
        <v>44694</v>
      </c>
      <c r="K114">
        <v>511</v>
      </c>
      <c r="L114">
        <v>1200</v>
      </c>
      <c r="M114">
        <v>101</v>
      </c>
      <c r="N114">
        <f>ROUND(M114/30,0)</f>
        <v>3</v>
      </c>
      <c r="O114">
        <v>358</v>
      </c>
      <c r="P114">
        <f>ROUND(O114/30,0)</f>
        <v>12</v>
      </c>
      <c r="Q114">
        <f>ROUND(G114/P114,0)</f>
        <v>64</v>
      </c>
      <c r="R114">
        <v>30</v>
      </c>
    </row>
    <row r="115" spans="1:18" ht="16.5" customHeight="1">
      <c r="A115" s="5" t="s">
        <v>182</v>
      </c>
      <c r="D115">
        <v>11907013</v>
      </c>
      <c r="E115" t="s">
        <v>97</v>
      </c>
      <c r="F115" t="s">
        <v>10</v>
      </c>
      <c r="G115">
        <v>70</v>
      </c>
      <c r="J115" s="4">
        <v>44833</v>
      </c>
      <c r="K115">
        <v>650</v>
      </c>
      <c r="M115">
        <v>0</v>
      </c>
      <c r="N115">
        <f>ROUND(M115/30,0)</f>
        <v>0</v>
      </c>
      <c r="O115">
        <v>124</v>
      </c>
      <c r="P115">
        <f>ROUND(O115/30,0)</f>
        <v>4</v>
      </c>
      <c r="Q115">
        <f>ROUND(G115/P115,0)</f>
        <v>18</v>
      </c>
      <c r="R115">
        <v>25</v>
      </c>
    </row>
    <row r="116" spans="1:18" ht="16.5" customHeight="1">
      <c r="A116" s="6" t="s">
        <v>182</v>
      </c>
      <c r="D116">
        <v>11907013</v>
      </c>
      <c r="E116" t="s">
        <v>97</v>
      </c>
      <c r="F116" t="s">
        <v>10</v>
      </c>
      <c r="G116">
        <v>336</v>
      </c>
      <c r="J116" s="4">
        <v>44883</v>
      </c>
      <c r="K116">
        <v>700</v>
      </c>
      <c r="M116">
        <v>0</v>
      </c>
      <c r="N116">
        <f>ROUND(M116/30,0)</f>
        <v>0</v>
      </c>
      <c r="O116">
        <v>124</v>
      </c>
      <c r="P116">
        <f>ROUND(O116/30,0)</f>
        <v>4</v>
      </c>
      <c r="Q116">
        <f>ROUND(G116/P116,0)</f>
        <v>84</v>
      </c>
      <c r="R116">
        <v>25</v>
      </c>
    </row>
    <row r="117" spans="1:18" ht="16.5" customHeight="1">
      <c r="A117" s="6" t="s">
        <v>182</v>
      </c>
      <c r="D117">
        <v>11909001</v>
      </c>
      <c r="E117" t="s">
        <v>98</v>
      </c>
      <c r="F117" t="s">
        <v>99</v>
      </c>
      <c r="G117">
        <v>3696</v>
      </c>
      <c r="J117" s="4">
        <v>45051</v>
      </c>
      <c r="K117">
        <v>868</v>
      </c>
      <c r="L117">
        <v>8000</v>
      </c>
      <c r="M117">
        <v>902</v>
      </c>
      <c r="N117">
        <f>ROUND(M117/30,0)</f>
        <v>30</v>
      </c>
      <c r="O117">
        <v>266</v>
      </c>
      <c r="P117">
        <f>ROUND(O117/30,0)</f>
        <v>9</v>
      </c>
      <c r="Q117">
        <f>ROUND(G117/P117,0)</f>
        <v>411</v>
      </c>
      <c r="R117">
        <v>30</v>
      </c>
    </row>
    <row r="118" spans="1:18" ht="16.5" customHeight="1">
      <c r="A118" s="5" t="s">
        <v>182</v>
      </c>
      <c r="D118">
        <v>11909002</v>
      </c>
      <c r="E118" t="s">
        <v>100</v>
      </c>
      <c r="F118" t="s">
        <v>101</v>
      </c>
      <c r="G118">
        <v>6540</v>
      </c>
      <c r="J118" s="4">
        <v>45149</v>
      </c>
      <c r="K118">
        <v>966</v>
      </c>
      <c r="M118">
        <v>0</v>
      </c>
      <c r="N118">
        <f>ROUND(M118/30,0)</f>
        <v>0</v>
      </c>
      <c r="P118">
        <f>ROUND(O118/30,0)</f>
        <v>0</v>
      </c>
      <c r="Q118">
        <v>0</v>
      </c>
      <c r="R118">
        <v>30</v>
      </c>
    </row>
    <row r="119" spans="1:18" ht="16.5" customHeight="1">
      <c r="A119" s="6" t="s">
        <v>182</v>
      </c>
      <c r="D119">
        <v>11909005</v>
      </c>
      <c r="E119" t="s">
        <v>102</v>
      </c>
      <c r="F119" t="s">
        <v>31</v>
      </c>
      <c r="G119">
        <v>1831</v>
      </c>
      <c r="J119" s="4">
        <v>45037</v>
      </c>
      <c r="K119">
        <v>854</v>
      </c>
      <c r="L119">
        <v>8000</v>
      </c>
      <c r="M119">
        <v>199</v>
      </c>
      <c r="N119">
        <f>ROUND(M119/30,0)</f>
        <v>7</v>
      </c>
      <c r="O119">
        <v>1209</v>
      </c>
      <c r="P119">
        <f>ROUND(O119/30,0)</f>
        <v>40</v>
      </c>
      <c r="Q119">
        <f>ROUND(G119/P119,0)</f>
        <v>46</v>
      </c>
      <c r="R119">
        <v>30</v>
      </c>
    </row>
    <row r="120" spans="1:18" ht="16.5" customHeight="1">
      <c r="A120" s="6" t="s">
        <v>182</v>
      </c>
      <c r="D120">
        <v>12002009</v>
      </c>
      <c r="E120" t="s">
        <v>103</v>
      </c>
      <c r="F120" t="s">
        <v>33</v>
      </c>
      <c r="G120">
        <v>486</v>
      </c>
      <c r="J120" s="4">
        <v>44756</v>
      </c>
      <c r="K120">
        <v>573</v>
      </c>
      <c r="M120">
        <v>0</v>
      </c>
      <c r="N120">
        <f>ROUND(M120/30,0)</f>
        <v>0</v>
      </c>
      <c r="O120">
        <v>29</v>
      </c>
      <c r="P120">
        <f>ROUND(O120/30,0)</f>
        <v>1</v>
      </c>
      <c r="Q120">
        <f>ROUND(G120/P120,0)</f>
        <v>486</v>
      </c>
      <c r="R120">
        <v>40</v>
      </c>
    </row>
    <row r="121" spans="1:18" ht="16.5" customHeight="1">
      <c r="A121" s="5" t="s">
        <v>182</v>
      </c>
      <c r="D121">
        <v>12003001</v>
      </c>
      <c r="E121" t="s">
        <v>104</v>
      </c>
      <c r="F121" t="s">
        <v>31</v>
      </c>
      <c r="G121">
        <v>1896</v>
      </c>
      <c r="J121" s="4">
        <v>45068</v>
      </c>
      <c r="K121">
        <v>885</v>
      </c>
      <c r="M121">
        <v>0</v>
      </c>
      <c r="N121">
        <f>ROUND(M121/30,0)</f>
        <v>0</v>
      </c>
      <c r="P121">
        <f>ROUND(O121/30,0)</f>
        <v>0</v>
      </c>
      <c r="Q121">
        <v>0</v>
      </c>
      <c r="R121">
        <v>30</v>
      </c>
    </row>
    <row r="122" spans="1:18" ht="16.5" customHeight="1">
      <c r="A122" s="5" t="s">
        <v>182</v>
      </c>
      <c r="D122">
        <v>12003049</v>
      </c>
      <c r="E122" t="s">
        <v>105</v>
      </c>
      <c r="F122" t="s">
        <v>31</v>
      </c>
      <c r="G122">
        <v>129</v>
      </c>
      <c r="J122" s="4">
        <v>45052</v>
      </c>
      <c r="K122">
        <v>869</v>
      </c>
      <c r="M122">
        <v>0</v>
      </c>
      <c r="N122">
        <f>ROUND(M122/30,0)</f>
        <v>0</v>
      </c>
      <c r="O122">
        <v>193</v>
      </c>
      <c r="P122">
        <f>ROUND(O122/30,0)</f>
        <v>6</v>
      </c>
      <c r="Q122">
        <f>ROUND(G122/P122,0)</f>
        <v>22</v>
      </c>
      <c r="R122">
        <v>30</v>
      </c>
    </row>
    <row r="123" spans="1:18" ht="16.5" customHeight="1">
      <c r="A123" s="6" t="s">
        <v>182</v>
      </c>
      <c r="D123">
        <v>12003050</v>
      </c>
      <c r="E123" t="s">
        <v>106</v>
      </c>
      <c r="F123" t="s">
        <v>31</v>
      </c>
      <c r="G123">
        <v>1423</v>
      </c>
      <c r="J123" s="4">
        <v>45071</v>
      </c>
      <c r="K123">
        <v>888</v>
      </c>
      <c r="M123">
        <v>0</v>
      </c>
      <c r="N123">
        <f>ROUND(M123/30,0)</f>
        <v>0</v>
      </c>
      <c r="O123">
        <v>130</v>
      </c>
      <c r="P123">
        <f>ROUND(O123/30,0)</f>
        <v>4</v>
      </c>
      <c r="Q123">
        <f>ROUND(G123/P123,0)</f>
        <v>356</v>
      </c>
      <c r="R123">
        <v>30</v>
      </c>
    </row>
    <row r="124" spans="1:18" ht="16.5" customHeight="1">
      <c r="A124" s="5" t="s">
        <v>182</v>
      </c>
      <c r="D124">
        <v>12103004</v>
      </c>
      <c r="E124" t="s">
        <v>107</v>
      </c>
      <c r="F124" t="s">
        <v>3</v>
      </c>
      <c r="G124">
        <v>468</v>
      </c>
      <c r="J124" s="4">
        <v>44518</v>
      </c>
      <c r="K124">
        <v>335</v>
      </c>
      <c r="M124">
        <v>0</v>
      </c>
      <c r="N124">
        <f>ROUND(M124/30,0)</f>
        <v>0</v>
      </c>
      <c r="O124">
        <v>775</v>
      </c>
      <c r="P124">
        <f>ROUND(O124/30,0)</f>
        <v>26</v>
      </c>
      <c r="Q124">
        <f>ROUND(G124/P124,0)</f>
        <v>18</v>
      </c>
      <c r="R124">
        <v>25</v>
      </c>
    </row>
    <row r="125" spans="1:18" ht="16.5" customHeight="1">
      <c r="A125" s="5" t="s">
        <v>182</v>
      </c>
      <c r="D125">
        <v>12202012</v>
      </c>
      <c r="E125" t="s">
        <v>108</v>
      </c>
      <c r="F125" t="s">
        <v>109</v>
      </c>
      <c r="G125">
        <v>213</v>
      </c>
      <c r="J125" s="4">
        <v>45929</v>
      </c>
      <c r="K125">
        <v>1746</v>
      </c>
      <c r="M125">
        <v>0</v>
      </c>
      <c r="N125">
        <f>ROUND(M125/30,0)</f>
        <v>0</v>
      </c>
      <c r="P125">
        <f>ROUND(O125/30,0)</f>
        <v>0</v>
      </c>
      <c r="Q125">
        <v>0</v>
      </c>
      <c r="R125">
        <v>20</v>
      </c>
    </row>
    <row r="126" spans="1:18" ht="16.5" customHeight="1">
      <c r="A126" s="5" t="s">
        <v>182</v>
      </c>
      <c r="D126">
        <v>12202012</v>
      </c>
      <c r="E126" t="s">
        <v>108</v>
      </c>
      <c r="F126" t="s">
        <v>109</v>
      </c>
      <c r="G126">
        <v>1008</v>
      </c>
      <c r="J126" s="4">
        <v>45999</v>
      </c>
      <c r="K126">
        <v>1816</v>
      </c>
      <c r="M126">
        <v>0</v>
      </c>
      <c r="N126">
        <f>ROUND(M126/30,0)</f>
        <v>0</v>
      </c>
      <c r="P126">
        <f>ROUND(O126/30,0)</f>
        <v>0</v>
      </c>
      <c r="Q126">
        <v>0</v>
      </c>
      <c r="R126">
        <v>20</v>
      </c>
    </row>
    <row r="127" spans="1:18" ht="16.5" customHeight="1">
      <c r="A127" s="5" t="s">
        <v>182</v>
      </c>
      <c r="D127">
        <v>12209011</v>
      </c>
      <c r="E127" t="s">
        <v>110</v>
      </c>
      <c r="F127" t="s">
        <v>111</v>
      </c>
      <c r="G127">
        <v>195</v>
      </c>
      <c r="J127" s="4">
        <v>45039</v>
      </c>
      <c r="K127">
        <v>856</v>
      </c>
      <c r="M127">
        <v>0</v>
      </c>
      <c r="N127">
        <f>ROUND(M127/30,0)</f>
        <v>0</v>
      </c>
      <c r="P127">
        <f>ROUND(O127/30,0)</f>
        <v>0</v>
      </c>
      <c r="Q127">
        <v>0</v>
      </c>
      <c r="R127">
        <v>20</v>
      </c>
    </row>
    <row r="128" spans="1:18" ht="16.5" customHeight="1">
      <c r="A128" s="5" t="s">
        <v>182</v>
      </c>
      <c r="D128">
        <v>12209011</v>
      </c>
      <c r="E128" t="s">
        <v>110</v>
      </c>
      <c r="F128" t="s">
        <v>111</v>
      </c>
      <c r="G128">
        <v>1296</v>
      </c>
      <c r="J128" s="4">
        <v>45236</v>
      </c>
      <c r="K128">
        <v>1053</v>
      </c>
      <c r="M128">
        <v>0</v>
      </c>
      <c r="N128">
        <f>ROUND(M128/30,0)</f>
        <v>0</v>
      </c>
      <c r="P128">
        <f>ROUND(O128/30,0)</f>
        <v>0</v>
      </c>
      <c r="Q128">
        <v>0</v>
      </c>
      <c r="R128">
        <v>20</v>
      </c>
    </row>
    <row r="129" spans="1:18" ht="16.5" customHeight="1">
      <c r="A129" s="5" t="s">
        <v>182</v>
      </c>
      <c r="D129">
        <v>12301009</v>
      </c>
      <c r="E129" t="s">
        <v>112</v>
      </c>
      <c r="F129" t="s">
        <v>113</v>
      </c>
      <c r="G129">
        <v>99</v>
      </c>
      <c r="J129" s="4">
        <v>73020</v>
      </c>
      <c r="K129">
        <v>28837</v>
      </c>
      <c r="M129">
        <v>0</v>
      </c>
      <c r="N129">
        <f>ROUND(M129/30,0)</f>
        <v>0</v>
      </c>
      <c r="P129">
        <f>ROUND(O129/30,0)</f>
        <v>0</v>
      </c>
      <c r="Q129">
        <v>0</v>
      </c>
      <c r="R129">
        <v>14</v>
      </c>
    </row>
    <row r="130" spans="1:18" ht="16.5" customHeight="1">
      <c r="A130" s="5" t="s">
        <v>182</v>
      </c>
      <c r="D130">
        <v>12401002</v>
      </c>
      <c r="E130" t="s">
        <v>114</v>
      </c>
      <c r="F130" t="s">
        <v>115</v>
      </c>
      <c r="G130">
        <v>89</v>
      </c>
      <c r="J130" s="4">
        <v>73020</v>
      </c>
      <c r="K130">
        <v>28837</v>
      </c>
      <c r="M130">
        <v>0</v>
      </c>
      <c r="N130">
        <f>ROUND(M130/30,0)</f>
        <v>0</v>
      </c>
      <c r="P130">
        <f>ROUND(O130/30,0)</f>
        <v>0</v>
      </c>
      <c r="Q130">
        <v>0</v>
      </c>
      <c r="R130">
        <v>14</v>
      </c>
    </row>
    <row r="131" spans="1:18" ht="16.5" customHeight="1">
      <c r="A131" s="5" t="s">
        <v>182</v>
      </c>
      <c r="D131">
        <v>12401025</v>
      </c>
      <c r="E131" t="s">
        <v>116</v>
      </c>
      <c r="F131" t="s">
        <v>117</v>
      </c>
      <c r="G131">
        <v>3</v>
      </c>
      <c r="J131" s="4">
        <v>73050</v>
      </c>
      <c r="K131">
        <v>28867</v>
      </c>
      <c r="M131">
        <v>0</v>
      </c>
      <c r="N131">
        <f>ROUND(M131/30,0)</f>
        <v>0</v>
      </c>
      <c r="P131">
        <f>ROUND(O131/30,0)</f>
        <v>0</v>
      </c>
      <c r="Q131">
        <v>0</v>
      </c>
    </row>
    <row r="132" spans="1:18" ht="16.5" customHeight="1">
      <c r="A132" s="5" t="s">
        <v>182</v>
      </c>
      <c r="D132">
        <v>12401026</v>
      </c>
      <c r="E132" t="s">
        <v>118</v>
      </c>
      <c r="F132" t="s">
        <v>119</v>
      </c>
      <c r="G132">
        <v>4</v>
      </c>
      <c r="J132" s="4">
        <v>73050</v>
      </c>
      <c r="K132">
        <v>28867</v>
      </c>
      <c r="M132">
        <v>0</v>
      </c>
      <c r="N132">
        <f>ROUND(M132/30,0)</f>
        <v>0</v>
      </c>
      <c r="P132">
        <f>ROUND(O132/30,0)</f>
        <v>0</v>
      </c>
      <c r="Q132">
        <v>0</v>
      </c>
    </row>
    <row r="133" spans="1:18" ht="16.5" customHeight="1">
      <c r="A133" s="5" t="s">
        <v>182</v>
      </c>
      <c r="D133">
        <v>12401027</v>
      </c>
      <c r="E133" t="s">
        <v>120</v>
      </c>
      <c r="F133" t="s">
        <v>117</v>
      </c>
      <c r="G133">
        <v>2</v>
      </c>
      <c r="J133" s="4">
        <v>73050</v>
      </c>
      <c r="K133">
        <v>28867</v>
      </c>
      <c r="M133">
        <v>0</v>
      </c>
      <c r="N133">
        <f>ROUND(M133/30,0)</f>
        <v>0</v>
      </c>
      <c r="P133">
        <f>ROUND(O133/30,0)</f>
        <v>0</v>
      </c>
      <c r="Q133">
        <v>0</v>
      </c>
    </row>
    <row r="134" spans="1:18" ht="16.5" customHeight="1">
      <c r="A134" s="5" t="s">
        <v>182</v>
      </c>
      <c r="D134">
        <v>12504043</v>
      </c>
      <c r="E134" t="s">
        <v>121</v>
      </c>
      <c r="F134" t="s">
        <v>122</v>
      </c>
      <c r="G134">
        <v>80</v>
      </c>
      <c r="J134" s="4">
        <v>72686</v>
      </c>
      <c r="K134">
        <v>28503</v>
      </c>
      <c r="M134">
        <v>0</v>
      </c>
      <c r="N134">
        <f>ROUND(M134/30,0)</f>
        <v>0</v>
      </c>
      <c r="P134">
        <f>ROUND(O134/30,0)</f>
        <v>0</v>
      </c>
      <c r="Q134">
        <v>0</v>
      </c>
      <c r="R134">
        <v>20</v>
      </c>
    </row>
    <row r="135" spans="1:18" ht="16.5" customHeight="1">
      <c r="A135" s="5" t="s">
        <v>182</v>
      </c>
      <c r="D135">
        <v>12602056</v>
      </c>
      <c r="E135" t="s">
        <v>123</v>
      </c>
      <c r="F135" t="s">
        <v>124</v>
      </c>
      <c r="G135">
        <v>2</v>
      </c>
      <c r="J135" s="4">
        <v>45860</v>
      </c>
      <c r="K135">
        <v>1677</v>
      </c>
      <c r="M135">
        <v>0</v>
      </c>
      <c r="N135">
        <f>ROUND(M135/30,0)</f>
        <v>0</v>
      </c>
      <c r="P135">
        <f>ROUND(O135/30,0)</f>
        <v>0</v>
      </c>
      <c r="Q135">
        <v>0</v>
      </c>
      <c r="R135">
        <v>14</v>
      </c>
    </row>
    <row r="136" spans="1:18" ht="16.5" customHeight="1">
      <c r="A136" s="5" t="s">
        <v>182</v>
      </c>
      <c r="D136">
        <v>12602056</v>
      </c>
      <c r="E136" t="s">
        <v>123</v>
      </c>
      <c r="F136" t="s">
        <v>124</v>
      </c>
      <c r="G136">
        <v>15</v>
      </c>
      <c r="J136" s="4">
        <v>46000</v>
      </c>
      <c r="K136">
        <v>1817</v>
      </c>
      <c r="M136">
        <v>0</v>
      </c>
      <c r="N136">
        <f>ROUND(M136/30,0)</f>
        <v>0</v>
      </c>
      <c r="P136">
        <f>ROUND(O136/30,0)</f>
        <v>0</v>
      </c>
      <c r="Q136">
        <v>0</v>
      </c>
      <c r="R136">
        <v>14</v>
      </c>
    </row>
    <row r="137" spans="1:18" ht="16.5" customHeight="1">
      <c r="A137" s="5" t="s">
        <v>182</v>
      </c>
      <c r="D137">
        <v>12701003</v>
      </c>
      <c r="E137" t="s">
        <v>125</v>
      </c>
      <c r="F137" t="s">
        <v>19</v>
      </c>
      <c r="G137">
        <v>263</v>
      </c>
      <c r="J137" s="4">
        <v>44855</v>
      </c>
      <c r="K137">
        <v>672</v>
      </c>
      <c r="M137">
        <v>0</v>
      </c>
      <c r="N137">
        <f>ROUND(M137/30,0)</f>
        <v>0</v>
      </c>
      <c r="O137">
        <v>343</v>
      </c>
      <c r="P137">
        <f>ROUND(O137/30,0)</f>
        <v>11</v>
      </c>
      <c r="Q137">
        <f>ROUND(G137/P137,0)</f>
        <v>24</v>
      </c>
      <c r="R137">
        <v>30</v>
      </c>
    </row>
    <row r="138" spans="1:18" ht="16.5" customHeight="1">
      <c r="A138" s="6" t="s">
        <v>182</v>
      </c>
      <c r="D138">
        <v>12701004</v>
      </c>
      <c r="E138" t="s">
        <v>126</v>
      </c>
      <c r="F138" t="s">
        <v>19</v>
      </c>
      <c r="G138">
        <v>214</v>
      </c>
      <c r="J138" s="4">
        <v>44890</v>
      </c>
      <c r="K138">
        <v>707</v>
      </c>
      <c r="M138">
        <v>0</v>
      </c>
      <c r="N138">
        <f>ROUND(M138/30,0)</f>
        <v>0</v>
      </c>
      <c r="O138">
        <v>69</v>
      </c>
      <c r="P138">
        <f>ROUND(O138/30,0)</f>
        <v>2</v>
      </c>
      <c r="Q138">
        <f>ROUND(G138/P138,0)</f>
        <v>107</v>
      </c>
      <c r="R138">
        <v>30</v>
      </c>
    </row>
    <row r="139" spans="1:18" ht="16.5" customHeight="1">
      <c r="A139" s="5" t="s">
        <v>182</v>
      </c>
      <c r="D139">
        <v>12901069</v>
      </c>
      <c r="E139" t="s">
        <v>127</v>
      </c>
      <c r="F139" t="s">
        <v>128</v>
      </c>
      <c r="G139">
        <v>212</v>
      </c>
      <c r="J139" s="4">
        <v>44463</v>
      </c>
      <c r="K139">
        <v>280</v>
      </c>
      <c r="M139">
        <v>0</v>
      </c>
      <c r="N139">
        <f>ROUND(M139/30,0)</f>
        <v>0</v>
      </c>
      <c r="P139">
        <f>ROUND(O139/30,0)</f>
        <v>0</v>
      </c>
      <c r="Q139">
        <v>0</v>
      </c>
    </row>
    <row r="140" spans="1:18" ht="16.5" customHeight="1">
      <c r="A140" s="5" t="s">
        <v>182</v>
      </c>
      <c r="D140">
        <v>12901072</v>
      </c>
      <c r="E140" t="s">
        <v>129</v>
      </c>
      <c r="F140" t="s">
        <v>128</v>
      </c>
      <c r="G140">
        <v>456</v>
      </c>
      <c r="J140" s="4">
        <v>44459</v>
      </c>
      <c r="K140">
        <v>276</v>
      </c>
      <c r="M140">
        <v>0</v>
      </c>
      <c r="N140">
        <f>ROUND(M140/30,0)</f>
        <v>0</v>
      </c>
      <c r="P140">
        <f>ROUND(O140/30,0)</f>
        <v>0</v>
      </c>
      <c r="Q140">
        <v>0</v>
      </c>
    </row>
    <row r="141" spans="1:18" ht="16.5" customHeight="1">
      <c r="A141" s="5" t="s">
        <v>182</v>
      </c>
      <c r="D141">
        <v>12901073</v>
      </c>
      <c r="E141" t="s">
        <v>130</v>
      </c>
      <c r="F141" t="s">
        <v>128</v>
      </c>
      <c r="G141">
        <v>308</v>
      </c>
      <c r="J141" s="4">
        <v>44463</v>
      </c>
      <c r="K141">
        <v>280</v>
      </c>
      <c r="M141">
        <v>0</v>
      </c>
      <c r="N141">
        <f>ROUND(M141/30,0)</f>
        <v>0</v>
      </c>
      <c r="P141">
        <f>ROUND(O141/30,0)</f>
        <v>0</v>
      </c>
      <c r="Q141">
        <v>0</v>
      </c>
    </row>
    <row r="142" spans="1:18" ht="16.5" customHeight="1">
      <c r="A142" s="5" t="s">
        <v>182</v>
      </c>
      <c r="D142">
        <v>12901074</v>
      </c>
      <c r="E142" t="s">
        <v>131</v>
      </c>
      <c r="F142" t="s">
        <v>128</v>
      </c>
      <c r="G142">
        <v>204</v>
      </c>
      <c r="J142" s="4">
        <v>44516</v>
      </c>
      <c r="K142">
        <v>333</v>
      </c>
      <c r="M142">
        <v>0</v>
      </c>
      <c r="N142">
        <f>ROUND(M142/30,0)</f>
        <v>0</v>
      </c>
      <c r="P142">
        <f>ROUND(O142/30,0)</f>
        <v>0</v>
      </c>
      <c r="Q142">
        <v>0</v>
      </c>
    </row>
    <row r="143" spans="1:18" ht="16.5" customHeight="1">
      <c r="A143" s="5" t="s">
        <v>182</v>
      </c>
      <c r="D143">
        <v>12901075</v>
      </c>
      <c r="E143" t="s">
        <v>132</v>
      </c>
      <c r="F143" t="s">
        <v>128</v>
      </c>
      <c r="G143">
        <v>192</v>
      </c>
      <c r="J143" s="4">
        <v>44524</v>
      </c>
      <c r="K143">
        <v>341</v>
      </c>
      <c r="M143">
        <v>0</v>
      </c>
      <c r="N143">
        <f>ROUND(M143/30,0)</f>
        <v>0</v>
      </c>
      <c r="P143">
        <f>ROUND(O143/30,0)</f>
        <v>0</v>
      </c>
      <c r="Q143">
        <v>0</v>
      </c>
    </row>
    <row r="144" spans="1:18" ht="16.5" customHeight="1">
      <c r="A144" s="5" t="s">
        <v>182</v>
      </c>
      <c r="D144">
        <v>12901077</v>
      </c>
      <c r="E144" t="s">
        <v>133</v>
      </c>
      <c r="F144" t="s">
        <v>128</v>
      </c>
      <c r="G144">
        <v>104</v>
      </c>
      <c r="J144" s="4">
        <v>44685</v>
      </c>
      <c r="K144">
        <v>502</v>
      </c>
      <c r="M144">
        <v>0</v>
      </c>
      <c r="N144">
        <f>ROUND(M144/30,0)</f>
        <v>0</v>
      </c>
      <c r="P144">
        <f>ROUND(O144/30,0)</f>
        <v>0</v>
      </c>
      <c r="Q144">
        <v>0</v>
      </c>
    </row>
    <row r="145" spans="1:18" ht="16.5" customHeight="1">
      <c r="A145" s="5" t="s">
        <v>182</v>
      </c>
      <c r="D145">
        <v>12901078</v>
      </c>
      <c r="E145" t="s">
        <v>134</v>
      </c>
      <c r="F145" t="s">
        <v>128</v>
      </c>
      <c r="G145">
        <v>112</v>
      </c>
      <c r="J145" s="4">
        <v>44524</v>
      </c>
      <c r="K145">
        <v>341</v>
      </c>
      <c r="M145">
        <v>0</v>
      </c>
      <c r="N145">
        <f>ROUND(M145/30,0)</f>
        <v>0</v>
      </c>
      <c r="P145">
        <f>ROUND(O145/30,0)</f>
        <v>0</v>
      </c>
      <c r="Q145">
        <v>0</v>
      </c>
    </row>
    <row r="146" spans="1:18" ht="16.5" customHeight="1">
      <c r="A146" s="5" t="s">
        <v>182</v>
      </c>
      <c r="D146">
        <v>12901080</v>
      </c>
      <c r="E146" t="s">
        <v>135</v>
      </c>
      <c r="F146" t="s">
        <v>63</v>
      </c>
      <c r="G146">
        <v>162</v>
      </c>
      <c r="J146" s="4">
        <v>44884</v>
      </c>
      <c r="K146">
        <v>701</v>
      </c>
      <c r="M146">
        <v>0</v>
      </c>
      <c r="N146">
        <f>ROUND(M146/30,0)</f>
        <v>0</v>
      </c>
      <c r="P146">
        <f>ROUND(O146/30,0)</f>
        <v>0</v>
      </c>
      <c r="Q146">
        <v>0</v>
      </c>
    </row>
    <row r="147" spans="1:18" ht="16.5" customHeight="1">
      <c r="A147" s="5" t="s">
        <v>182</v>
      </c>
      <c r="D147">
        <v>12901081</v>
      </c>
      <c r="E147" t="s">
        <v>136</v>
      </c>
      <c r="F147" t="s">
        <v>128</v>
      </c>
      <c r="G147">
        <v>176</v>
      </c>
      <c r="J147" s="4">
        <v>44403</v>
      </c>
      <c r="K147">
        <v>220</v>
      </c>
      <c r="M147">
        <v>0</v>
      </c>
      <c r="N147">
        <f>ROUND(M147/30,0)</f>
        <v>0</v>
      </c>
      <c r="P147">
        <f>ROUND(O147/30,0)</f>
        <v>0</v>
      </c>
      <c r="Q147">
        <v>0</v>
      </c>
    </row>
    <row r="148" spans="1:18" ht="16.5" customHeight="1">
      <c r="A148" s="7" t="s">
        <v>183</v>
      </c>
      <c r="D148">
        <v>12902372</v>
      </c>
      <c r="E148" t="s">
        <v>137</v>
      </c>
      <c r="F148" t="s">
        <v>138</v>
      </c>
      <c r="G148">
        <v>1</v>
      </c>
      <c r="K148">
        <v>0</v>
      </c>
      <c r="M148">
        <v>0</v>
      </c>
      <c r="N148">
        <f>ROUND(M148/30,0)</f>
        <v>0</v>
      </c>
      <c r="P148">
        <f>ROUND(O148/30,0)</f>
        <v>0</v>
      </c>
      <c r="Q148">
        <v>0</v>
      </c>
    </row>
    <row r="149" spans="1:18" ht="16.5" customHeight="1">
      <c r="A149" s="5" t="s">
        <v>182</v>
      </c>
      <c r="D149">
        <v>21103001</v>
      </c>
      <c r="E149" t="s">
        <v>139</v>
      </c>
      <c r="F149" t="s">
        <v>5</v>
      </c>
      <c r="G149">
        <v>23448</v>
      </c>
      <c r="J149" s="4">
        <v>44648</v>
      </c>
      <c r="K149">
        <v>465</v>
      </c>
      <c r="L149">
        <v>72000</v>
      </c>
      <c r="M149">
        <v>98</v>
      </c>
      <c r="N149">
        <f>ROUND(M149/30,0)</f>
        <v>3</v>
      </c>
      <c r="O149">
        <v>22065</v>
      </c>
      <c r="P149">
        <f>ROUND(O149/30,0)</f>
        <v>736</v>
      </c>
      <c r="Q149">
        <f>ROUND(G149/P149,0)</f>
        <v>32</v>
      </c>
      <c r="R149">
        <v>30</v>
      </c>
    </row>
    <row r="150" spans="1:18" ht="16.5" customHeight="1">
      <c r="A150" s="5" t="s">
        <v>182</v>
      </c>
      <c r="D150">
        <v>21103015</v>
      </c>
      <c r="E150" t="s">
        <v>140</v>
      </c>
      <c r="F150" t="s">
        <v>141</v>
      </c>
      <c r="G150">
        <v>128</v>
      </c>
      <c r="J150" s="4">
        <v>44602</v>
      </c>
      <c r="K150">
        <v>419</v>
      </c>
      <c r="M150">
        <v>0</v>
      </c>
      <c r="N150">
        <f>ROUND(M150/30,0)</f>
        <v>0</v>
      </c>
      <c r="P150">
        <f>ROUND(O150/30,0)</f>
        <v>0</v>
      </c>
      <c r="Q150">
        <v>0</v>
      </c>
      <c r="R150">
        <v>20</v>
      </c>
    </row>
    <row r="151" spans="1:18" ht="16.5" customHeight="1">
      <c r="A151" s="5" t="s">
        <v>182</v>
      </c>
      <c r="D151">
        <v>21103015</v>
      </c>
      <c r="E151" t="s">
        <v>140</v>
      </c>
      <c r="F151" t="s">
        <v>141</v>
      </c>
      <c r="G151">
        <v>144</v>
      </c>
      <c r="J151" s="4">
        <v>44648</v>
      </c>
      <c r="K151">
        <v>465</v>
      </c>
      <c r="M151">
        <v>0</v>
      </c>
      <c r="N151">
        <f>ROUND(M151/30,0)</f>
        <v>0</v>
      </c>
      <c r="P151">
        <f>ROUND(O151/30,0)</f>
        <v>0</v>
      </c>
      <c r="Q151">
        <v>0</v>
      </c>
      <c r="R151">
        <v>20</v>
      </c>
    </row>
    <row r="152" spans="1:18" ht="16.5" customHeight="1">
      <c r="A152" s="5" t="s">
        <v>182</v>
      </c>
      <c r="D152">
        <v>21103032</v>
      </c>
      <c r="E152" t="s">
        <v>142</v>
      </c>
      <c r="F152" t="s">
        <v>5</v>
      </c>
      <c r="G152">
        <v>30228</v>
      </c>
      <c r="J152" s="4">
        <v>44365</v>
      </c>
      <c r="K152">
        <v>182</v>
      </c>
      <c r="M152">
        <v>0</v>
      </c>
      <c r="N152">
        <f>ROUND(M152/30,0)</f>
        <v>0</v>
      </c>
      <c r="P152">
        <f>ROUND(O152/30,0)</f>
        <v>0</v>
      </c>
      <c r="Q152">
        <v>0</v>
      </c>
      <c r="R152">
        <v>30</v>
      </c>
    </row>
    <row r="153" spans="1:18" ht="16.5" customHeight="1">
      <c r="A153" s="5" t="s">
        <v>182</v>
      </c>
      <c r="D153">
        <v>21103033</v>
      </c>
      <c r="E153" t="s">
        <v>143</v>
      </c>
      <c r="F153" t="s">
        <v>5</v>
      </c>
      <c r="G153">
        <v>40464</v>
      </c>
      <c r="J153" s="4">
        <v>44347</v>
      </c>
      <c r="K153">
        <v>164</v>
      </c>
      <c r="M153">
        <v>0</v>
      </c>
      <c r="N153">
        <f>ROUND(M153/30,0)</f>
        <v>0</v>
      </c>
      <c r="P153">
        <f>ROUND(O153/30,0)</f>
        <v>0</v>
      </c>
      <c r="Q153">
        <v>0</v>
      </c>
      <c r="R153">
        <v>30</v>
      </c>
    </row>
    <row r="154" spans="1:18" ht="16.5" customHeight="1">
      <c r="A154" s="5" t="s">
        <v>182</v>
      </c>
      <c r="D154">
        <v>21501002</v>
      </c>
      <c r="E154" t="s">
        <v>144</v>
      </c>
      <c r="F154" t="s">
        <v>3</v>
      </c>
      <c r="G154">
        <v>3</v>
      </c>
      <c r="J154" s="4">
        <v>44786</v>
      </c>
      <c r="K154">
        <v>603</v>
      </c>
      <c r="M154">
        <v>0</v>
      </c>
      <c r="N154">
        <f>ROUND(M154/30,0)</f>
        <v>0</v>
      </c>
      <c r="O154">
        <v>392</v>
      </c>
      <c r="P154">
        <f>ROUND(O154/30,0)</f>
        <v>13</v>
      </c>
      <c r="Q154">
        <f>ROUND(G154/P154,0)</f>
        <v>0</v>
      </c>
      <c r="R154">
        <v>25</v>
      </c>
    </row>
    <row r="155" spans="1:18" ht="16.5" customHeight="1">
      <c r="A155" s="5" t="s">
        <v>182</v>
      </c>
      <c r="D155">
        <v>21501002</v>
      </c>
      <c r="E155" t="s">
        <v>144</v>
      </c>
      <c r="F155" t="s">
        <v>3</v>
      </c>
      <c r="G155">
        <v>348</v>
      </c>
      <c r="J155" s="4">
        <v>44904</v>
      </c>
      <c r="K155">
        <v>721</v>
      </c>
      <c r="M155">
        <v>0</v>
      </c>
      <c r="N155">
        <f>ROUND(M155/30,0)</f>
        <v>0</v>
      </c>
      <c r="O155">
        <v>392</v>
      </c>
      <c r="P155">
        <f>ROUND(O155/30,0)</f>
        <v>13</v>
      </c>
      <c r="Q155">
        <f>ROUND(G155/P155,0)</f>
        <v>27</v>
      </c>
      <c r="R155">
        <v>25</v>
      </c>
    </row>
    <row r="156" spans="1:18" ht="16.5" customHeight="1">
      <c r="A156" s="6" t="s">
        <v>182</v>
      </c>
      <c r="D156">
        <v>21502007</v>
      </c>
      <c r="E156" t="s">
        <v>145</v>
      </c>
      <c r="F156" t="s">
        <v>31</v>
      </c>
      <c r="G156">
        <v>1176</v>
      </c>
      <c r="J156" s="4">
        <v>44850</v>
      </c>
      <c r="K156">
        <v>667</v>
      </c>
      <c r="M156">
        <v>0</v>
      </c>
      <c r="N156">
        <f>ROUND(M156/30,0)</f>
        <v>0</v>
      </c>
      <c r="O156">
        <v>50</v>
      </c>
      <c r="P156">
        <f>ROUND(O156/30,0)</f>
        <v>2</v>
      </c>
      <c r="Q156">
        <f>ROUND(G156/P156,0)</f>
        <v>588</v>
      </c>
      <c r="R156">
        <v>30</v>
      </c>
    </row>
    <row r="157" spans="1:18" ht="16.5" customHeight="1">
      <c r="A157" s="6" t="s">
        <v>182</v>
      </c>
      <c r="D157">
        <v>21502008</v>
      </c>
      <c r="E157" t="s">
        <v>146</v>
      </c>
      <c r="F157" t="s">
        <v>31</v>
      </c>
      <c r="G157">
        <v>767</v>
      </c>
      <c r="J157" s="4">
        <v>44850</v>
      </c>
      <c r="K157">
        <v>667</v>
      </c>
      <c r="M157">
        <v>0</v>
      </c>
      <c r="N157">
        <f>ROUND(M157/30,0)</f>
        <v>0</v>
      </c>
      <c r="O157">
        <v>29</v>
      </c>
      <c r="P157">
        <f>ROUND(O157/30,0)</f>
        <v>1</v>
      </c>
      <c r="Q157">
        <f>ROUND(G157/P157,0)</f>
        <v>767</v>
      </c>
      <c r="R157">
        <v>30</v>
      </c>
    </row>
    <row r="158" spans="1:18" ht="16.5" customHeight="1">
      <c r="A158" s="5" t="s">
        <v>182</v>
      </c>
      <c r="D158">
        <v>21502016</v>
      </c>
      <c r="E158" t="s">
        <v>147</v>
      </c>
      <c r="F158" t="s">
        <v>31</v>
      </c>
      <c r="G158">
        <v>192</v>
      </c>
      <c r="J158" s="4">
        <v>44743</v>
      </c>
      <c r="K158">
        <v>560</v>
      </c>
      <c r="M158">
        <v>0</v>
      </c>
      <c r="N158">
        <f>ROUND(M158/30,0)</f>
        <v>0</v>
      </c>
      <c r="P158">
        <f>ROUND(O158/30,0)</f>
        <v>0</v>
      </c>
      <c r="Q158">
        <v>0</v>
      </c>
      <c r="R158">
        <v>40</v>
      </c>
    </row>
    <row r="159" spans="1:18" ht="16.5" customHeight="1">
      <c r="A159" s="5" t="s">
        <v>182</v>
      </c>
      <c r="D159">
        <v>21502016</v>
      </c>
      <c r="E159" t="s">
        <v>147</v>
      </c>
      <c r="F159" t="s">
        <v>31</v>
      </c>
      <c r="G159">
        <v>312</v>
      </c>
      <c r="J159" s="4">
        <v>44762</v>
      </c>
      <c r="K159">
        <v>579</v>
      </c>
      <c r="M159">
        <v>0</v>
      </c>
      <c r="N159">
        <f>ROUND(M159/30,0)</f>
        <v>0</v>
      </c>
      <c r="P159">
        <f>ROUND(O159/30,0)</f>
        <v>0</v>
      </c>
      <c r="Q159">
        <v>0</v>
      </c>
      <c r="R159">
        <v>40</v>
      </c>
    </row>
    <row r="160" spans="1:18" ht="16.5" customHeight="1">
      <c r="A160" s="6" t="s">
        <v>182</v>
      </c>
      <c r="D160">
        <v>21701006</v>
      </c>
      <c r="E160" t="s">
        <v>148</v>
      </c>
      <c r="F160" t="s">
        <v>53</v>
      </c>
      <c r="G160">
        <v>325</v>
      </c>
      <c r="J160" s="4">
        <v>44685</v>
      </c>
      <c r="K160">
        <v>502</v>
      </c>
      <c r="L160">
        <v>1500</v>
      </c>
      <c r="M160">
        <v>349</v>
      </c>
      <c r="N160">
        <f>ROUND(M160/30,0)</f>
        <v>12</v>
      </c>
      <c r="O160">
        <v>129</v>
      </c>
      <c r="P160">
        <f>ROUND(O160/30,0)</f>
        <v>4</v>
      </c>
      <c r="Q160">
        <f>ROUND(G160/P160,0)</f>
        <v>81</v>
      </c>
      <c r="R160">
        <v>30</v>
      </c>
    </row>
    <row r="161" spans="1:18" ht="16.5" customHeight="1">
      <c r="A161" s="6" t="s">
        <v>182</v>
      </c>
      <c r="D161">
        <v>21701006</v>
      </c>
      <c r="E161" t="s">
        <v>148</v>
      </c>
      <c r="F161" t="s">
        <v>53</v>
      </c>
      <c r="G161">
        <v>1508</v>
      </c>
      <c r="J161" s="4">
        <v>44902</v>
      </c>
      <c r="K161">
        <v>719</v>
      </c>
      <c r="L161">
        <v>1500</v>
      </c>
      <c r="M161">
        <v>349</v>
      </c>
      <c r="N161">
        <f>ROUND(M161/30,0)</f>
        <v>12</v>
      </c>
      <c r="O161">
        <v>129</v>
      </c>
      <c r="P161">
        <f>ROUND(O161/30,0)</f>
        <v>4</v>
      </c>
      <c r="Q161">
        <f>ROUND(G161/P161,0)</f>
        <v>377</v>
      </c>
      <c r="R161">
        <v>30</v>
      </c>
    </row>
    <row r="162" spans="1:18" ht="16.5" customHeight="1">
      <c r="A162" s="6" t="s">
        <v>182</v>
      </c>
      <c r="D162">
        <v>21701007</v>
      </c>
      <c r="E162" t="s">
        <v>149</v>
      </c>
      <c r="F162" t="s">
        <v>53</v>
      </c>
      <c r="G162">
        <v>883</v>
      </c>
      <c r="J162" s="4">
        <v>44685</v>
      </c>
      <c r="K162">
        <v>502</v>
      </c>
      <c r="L162">
        <v>1500</v>
      </c>
      <c r="M162">
        <v>372</v>
      </c>
      <c r="N162">
        <f>ROUND(M162/30,0)</f>
        <v>12</v>
      </c>
      <c r="O162">
        <v>121</v>
      </c>
      <c r="P162">
        <f>ROUND(O162/30,0)</f>
        <v>4</v>
      </c>
      <c r="Q162">
        <f>ROUND(G162/P162,0)</f>
        <v>221</v>
      </c>
      <c r="R162">
        <v>30</v>
      </c>
    </row>
    <row r="163" spans="1:18" ht="16.5" customHeight="1">
      <c r="A163" s="6" t="s">
        <v>182</v>
      </c>
      <c r="D163">
        <v>21803001</v>
      </c>
      <c r="E163" t="s">
        <v>150</v>
      </c>
      <c r="F163" t="s">
        <v>3</v>
      </c>
      <c r="G163">
        <v>263</v>
      </c>
      <c r="J163" s="4">
        <v>44484</v>
      </c>
      <c r="K163">
        <v>301</v>
      </c>
      <c r="M163">
        <v>0</v>
      </c>
      <c r="N163">
        <f>ROUND(M163/30,0)</f>
        <v>0</v>
      </c>
      <c r="O163">
        <v>144</v>
      </c>
      <c r="P163">
        <f>ROUND(O163/30,0)</f>
        <v>5</v>
      </c>
      <c r="Q163">
        <f>ROUND(G163/P163,0)</f>
        <v>53</v>
      </c>
      <c r="R163">
        <v>25</v>
      </c>
    </row>
    <row r="164" spans="1:18" ht="16.5" customHeight="1">
      <c r="A164" s="6" t="s">
        <v>182</v>
      </c>
      <c r="D164">
        <v>21803002</v>
      </c>
      <c r="E164" t="s">
        <v>151</v>
      </c>
      <c r="F164" t="s">
        <v>3</v>
      </c>
      <c r="G164">
        <v>224</v>
      </c>
      <c r="J164" s="4">
        <v>44484</v>
      </c>
      <c r="K164">
        <v>301</v>
      </c>
      <c r="M164">
        <v>0</v>
      </c>
      <c r="N164">
        <f>ROUND(M164/30,0)</f>
        <v>0</v>
      </c>
      <c r="O164">
        <v>147</v>
      </c>
      <c r="P164">
        <f>ROUND(O164/30,0)</f>
        <v>5</v>
      </c>
      <c r="Q164">
        <f>ROUND(G164/P164,0)</f>
        <v>45</v>
      </c>
      <c r="R164">
        <v>25</v>
      </c>
    </row>
    <row r="165" spans="1:18" ht="16.5" customHeight="1">
      <c r="A165" s="6" t="s">
        <v>182</v>
      </c>
      <c r="D165">
        <v>21803005</v>
      </c>
      <c r="E165" t="s">
        <v>152</v>
      </c>
      <c r="F165" t="s">
        <v>3</v>
      </c>
      <c r="G165">
        <v>476</v>
      </c>
      <c r="J165" s="4">
        <v>44484</v>
      </c>
      <c r="K165">
        <v>301</v>
      </c>
      <c r="M165">
        <v>0</v>
      </c>
      <c r="N165">
        <f>ROUND(M165/30,0)</f>
        <v>0</v>
      </c>
      <c r="O165">
        <v>140</v>
      </c>
      <c r="P165">
        <f>ROUND(O165/30,0)</f>
        <v>5</v>
      </c>
      <c r="Q165">
        <f>ROUND(G165/P165,0)</f>
        <v>95</v>
      </c>
      <c r="R165">
        <v>25</v>
      </c>
    </row>
    <row r="166" spans="1:18" ht="16.5" customHeight="1">
      <c r="A166" s="5" t="s">
        <v>182</v>
      </c>
      <c r="D166">
        <v>21902001</v>
      </c>
      <c r="E166" t="s">
        <v>153</v>
      </c>
      <c r="F166" t="s">
        <v>3</v>
      </c>
      <c r="G166">
        <v>6</v>
      </c>
      <c r="J166" s="4">
        <v>44421</v>
      </c>
      <c r="K166">
        <v>238</v>
      </c>
      <c r="M166">
        <v>0</v>
      </c>
      <c r="N166">
        <f>ROUND(M166/30,0)</f>
        <v>0</v>
      </c>
      <c r="O166">
        <v>136</v>
      </c>
      <c r="P166">
        <f>ROUND(O166/30,0)</f>
        <v>5</v>
      </c>
      <c r="Q166">
        <f>ROUND(G166/P166,0)</f>
        <v>1</v>
      </c>
      <c r="R166">
        <v>25</v>
      </c>
    </row>
    <row r="167" spans="1:18" ht="16.5" customHeight="1">
      <c r="A167" s="6" t="s">
        <v>182</v>
      </c>
      <c r="D167">
        <v>21902001</v>
      </c>
      <c r="E167" t="s">
        <v>153</v>
      </c>
      <c r="F167" t="s">
        <v>3</v>
      </c>
      <c r="G167">
        <v>503</v>
      </c>
      <c r="J167" s="4">
        <v>44491</v>
      </c>
      <c r="K167">
        <v>308</v>
      </c>
      <c r="M167">
        <v>0</v>
      </c>
      <c r="N167">
        <f>ROUND(M167/30,0)</f>
        <v>0</v>
      </c>
      <c r="O167">
        <v>136</v>
      </c>
      <c r="P167">
        <f>ROUND(O167/30,0)</f>
        <v>5</v>
      </c>
      <c r="Q167">
        <f>ROUND(G167/P167,0)</f>
        <v>101</v>
      </c>
      <c r="R167">
        <v>25</v>
      </c>
    </row>
    <row r="168" spans="1:18" ht="16.5" customHeight="1">
      <c r="A168" s="6" t="s">
        <v>182</v>
      </c>
      <c r="D168">
        <v>21902002</v>
      </c>
      <c r="E168" t="s">
        <v>154</v>
      </c>
      <c r="F168" t="s">
        <v>3</v>
      </c>
      <c r="G168">
        <v>235</v>
      </c>
      <c r="J168" s="4">
        <v>44491</v>
      </c>
      <c r="K168">
        <v>308</v>
      </c>
      <c r="M168">
        <v>0</v>
      </c>
      <c r="N168">
        <f>ROUND(M168/30,0)</f>
        <v>0</v>
      </c>
      <c r="O168">
        <v>59</v>
      </c>
      <c r="P168">
        <f>ROUND(O168/30,0)</f>
        <v>2</v>
      </c>
      <c r="Q168">
        <f>ROUND(G168/P168,0)</f>
        <v>118</v>
      </c>
      <c r="R168">
        <v>25</v>
      </c>
    </row>
    <row r="169" spans="1:18" ht="16.5" customHeight="1">
      <c r="A169" s="5" t="s">
        <v>182</v>
      </c>
      <c r="D169">
        <v>21903007</v>
      </c>
      <c r="E169" t="s">
        <v>155</v>
      </c>
      <c r="F169" t="s">
        <v>3</v>
      </c>
      <c r="G169">
        <v>298</v>
      </c>
      <c r="J169" s="4">
        <v>44518</v>
      </c>
      <c r="K169">
        <v>335</v>
      </c>
      <c r="M169">
        <v>0</v>
      </c>
      <c r="N169">
        <f>ROUND(M169/30,0)</f>
        <v>0</v>
      </c>
      <c r="O169">
        <v>355</v>
      </c>
      <c r="P169">
        <f>ROUND(O169/30,0)</f>
        <v>12</v>
      </c>
      <c r="Q169">
        <f>ROUND(G169/P169,0)</f>
        <v>25</v>
      </c>
      <c r="R169">
        <v>25</v>
      </c>
    </row>
    <row r="170" spans="1:18" ht="16.5" customHeight="1">
      <c r="A170" s="7" t="s">
        <v>183</v>
      </c>
      <c r="D170">
        <v>21903009</v>
      </c>
      <c r="E170" t="s">
        <v>156</v>
      </c>
      <c r="F170" t="s">
        <v>157</v>
      </c>
      <c r="G170">
        <v>49</v>
      </c>
      <c r="J170" s="4">
        <v>44312</v>
      </c>
      <c r="K170">
        <v>129</v>
      </c>
      <c r="M170">
        <v>0</v>
      </c>
      <c r="N170">
        <f>ROUND(M170/30,0)</f>
        <v>0</v>
      </c>
      <c r="P170">
        <f>ROUND(O170/30,0)</f>
        <v>0</v>
      </c>
      <c r="Q170">
        <v>0</v>
      </c>
      <c r="R170">
        <v>25</v>
      </c>
    </row>
    <row r="171" spans="1:18" ht="16.5" customHeight="1">
      <c r="A171" s="5" t="s">
        <v>182</v>
      </c>
      <c r="D171">
        <v>21905001</v>
      </c>
      <c r="E171" t="s">
        <v>158</v>
      </c>
      <c r="F171" t="s">
        <v>3</v>
      </c>
      <c r="G171">
        <v>119</v>
      </c>
      <c r="J171" s="4">
        <v>44516</v>
      </c>
      <c r="K171">
        <v>333</v>
      </c>
      <c r="M171">
        <v>0</v>
      </c>
      <c r="N171">
        <f>ROUND(M171/30,0)</f>
        <v>0</v>
      </c>
      <c r="O171">
        <v>257</v>
      </c>
      <c r="P171">
        <f>ROUND(O171/30,0)</f>
        <v>9</v>
      </c>
      <c r="Q171">
        <f>ROUND(G171/P171,0)</f>
        <v>13</v>
      </c>
      <c r="R171">
        <v>25</v>
      </c>
    </row>
    <row r="172" spans="1:18" ht="16.5" customHeight="1">
      <c r="A172" s="6" t="s">
        <v>182</v>
      </c>
      <c r="D172">
        <v>21905002</v>
      </c>
      <c r="E172" t="s">
        <v>159</v>
      </c>
      <c r="F172" t="s">
        <v>3</v>
      </c>
      <c r="G172">
        <v>221</v>
      </c>
      <c r="J172" s="4">
        <v>44516</v>
      </c>
      <c r="K172">
        <v>333</v>
      </c>
      <c r="M172">
        <v>0</v>
      </c>
      <c r="N172">
        <f>ROUND(M172/30,0)</f>
        <v>0</v>
      </c>
      <c r="O172">
        <v>99</v>
      </c>
      <c r="P172">
        <f>ROUND(O172/30,0)</f>
        <v>3</v>
      </c>
      <c r="Q172">
        <f>ROUND(G172/P172,0)</f>
        <v>74</v>
      </c>
      <c r="R172">
        <v>25</v>
      </c>
    </row>
    <row r="173" spans="1:18" ht="16.5" customHeight="1">
      <c r="A173" s="5" t="s">
        <v>182</v>
      </c>
      <c r="D173">
        <v>21908010</v>
      </c>
      <c r="E173" t="s">
        <v>160</v>
      </c>
      <c r="F173" t="s">
        <v>128</v>
      </c>
      <c r="G173">
        <v>76</v>
      </c>
      <c r="J173" s="4">
        <v>44455</v>
      </c>
      <c r="K173">
        <v>272</v>
      </c>
      <c r="M173">
        <v>0</v>
      </c>
      <c r="N173">
        <f>ROUND(M173/30,0)</f>
        <v>0</v>
      </c>
      <c r="P173">
        <f>ROUND(O173/30,0)</f>
        <v>0</v>
      </c>
      <c r="Q173">
        <v>0</v>
      </c>
      <c r="R173">
        <v>25</v>
      </c>
    </row>
    <row r="174" spans="1:18" ht="16.5" customHeight="1">
      <c r="A174" s="6" t="s">
        <v>182</v>
      </c>
      <c r="D174">
        <v>22710013</v>
      </c>
      <c r="E174" t="s">
        <v>161</v>
      </c>
      <c r="F174" t="s">
        <v>162</v>
      </c>
      <c r="G174">
        <v>1715</v>
      </c>
      <c r="J174" s="4">
        <v>44884</v>
      </c>
      <c r="K174">
        <v>701</v>
      </c>
      <c r="L174">
        <v>4800</v>
      </c>
      <c r="M174">
        <v>1655</v>
      </c>
      <c r="N174">
        <f>ROUND(M174/30,0)</f>
        <v>55</v>
      </c>
      <c r="O174">
        <v>87</v>
      </c>
      <c r="P174">
        <f>ROUND(O174/30,0)</f>
        <v>3</v>
      </c>
      <c r="Q174">
        <f>ROUND(G174/P174,0)</f>
        <v>572</v>
      </c>
      <c r="R174">
        <v>30</v>
      </c>
    </row>
    <row r="175" spans="1:18" ht="16.5" customHeight="1">
      <c r="A175" s="6" t="s">
        <v>182</v>
      </c>
      <c r="D175">
        <v>22710014</v>
      </c>
      <c r="E175" t="s">
        <v>163</v>
      </c>
      <c r="F175" t="s">
        <v>162</v>
      </c>
      <c r="G175">
        <v>612</v>
      </c>
      <c r="J175" s="4">
        <v>44905</v>
      </c>
      <c r="K175">
        <v>722</v>
      </c>
      <c r="L175">
        <v>4800</v>
      </c>
      <c r="M175">
        <v>1600</v>
      </c>
      <c r="N175">
        <f>ROUND(M175/30,0)</f>
        <v>53</v>
      </c>
      <c r="O175">
        <v>90</v>
      </c>
      <c r="P175">
        <f>ROUND(O175/30,0)</f>
        <v>3</v>
      </c>
      <c r="Q175">
        <f>ROUND(G175/P175,0)</f>
        <v>204</v>
      </c>
      <c r="R175">
        <v>30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2020-12-18T06:15:20Z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