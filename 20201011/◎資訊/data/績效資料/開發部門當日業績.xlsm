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E19" i="2"/>
  <c r="D19"/>
  <c r="C19"/>
  <c r="F15"/>
  <c r="E15"/>
  <c r="D15"/>
  <c r="C15"/>
  <c r="F14"/>
  <c r="E14"/>
  <c r="D14"/>
  <c r="C14"/>
  <c r="F11"/>
  <c r="E11"/>
  <c r="D11"/>
  <c r="C11"/>
  <c r="F8"/>
  <c r="E8"/>
  <c r="D8"/>
  <c r="C8"/>
  <c r="F13"/>
  <c r="F12"/>
  <c r="F10"/>
  <c r="F9"/>
  <c r="F7"/>
  <c r="F6"/>
  <c r="F5"/>
</calcChain>
</file>

<file path=xl/sharedStrings.xml><?xml version="1.0" encoding="utf-8"?>
<sst xmlns="http://schemas.openxmlformats.org/spreadsheetml/2006/main" count="39" uniqueCount="24">
  <si>
    <t>張嘉芬</t>
  </si>
  <si>
    <t>李永齊</t>
  </si>
  <si>
    <t>黃三和</t>
  </si>
  <si>
    <t>許巧琪</t>
  </si>
  <si>
    <t>陳巧芬</t>
  </si>
  <si>
    <t>黃宥瑄</t>
  </si>
  <si>
    <t>柯世鵬</t>
  </si>
  <si>
    <t>陳安睫</t>
  </si>
  <si>
    <t>駱麗玲</t>
  </si>
  <si>
    <t>秦志雄</t>
  </si>
  <si>
    <t>南區</t>
  </si>
  <si>
    <t>北區</t>
  </si>
  <si>
    <t>外銷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</si>
  <si>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</si>
  <si>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</si>
  <si>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</si>
  <si>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</si>
  <si>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</si>
  <si>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</si>
  <si>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</si>
  <si>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3" type="noConversion"/>
  </si>
  <si>
    <t>開發</t>
  </si>
  <si>
    <t>小計：</t>
  </si>
  <si>
    <t>實體</t>
  </si>
</sst>
</file>

<file path=xl/styles.xml><?xml version="1.0" encoding="utf-8"?>
<styleSheet xmlns="http://schemas.openxmlformats.org/spreadsheetml/2006/main">
  <numFmts count="1">
    <numFmt numFmtId="176" formatCode="##,##0_ ;\-##,##0\ "/>
  </numFmts>
  <fonts count="16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12"/>
      <color rgb="FF0070C0"/>
      <name val="SimSun"/>
      <charset val="134"/>
    </font>
    <font>
      <b/>
      <sz val="10"/>
      <color rgb="FF0070C0"/>
      <name val="SimSun"/>
      <charset val="134"/>
    </font>
    <font>
      <b/>
      <sz val="10"/>
      <color rgb="FF0070C0"/>
      <name val="Arial"/>
      <family val="2"/>
    </font>
    <font>
      <b/>
      <sz val="12"/>
      <color rgb="FF00B050"/>
      <name val="SimSun"/>
      <charset val="134"/>
    </font>
    <font>
      <b/>
      <sz val="10"/>
      <color rgb="FF00B050"/>
      <name val="SimSun"/>
      <charset val="134"/>
    </font>
    <font>
      <b/>
      <sz val="10"/>
      <color rgb="FF00B050"/>
      <name val="Arial"/>
      <family val="2"/>
    </font>
    <font>
      <b/>
      <sz val="12"/>
      <color theme="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366FF"/>
        <bgColor indexed="64"/>
      </patternFill>
    </fill>
    <fill>
      <patternFill patternType="solid">
        <fgColor rgb="FF339966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right" vertical="center"/>
    </xf>
    <xf numFmtId="0" fontId="6" fillId="0" borderId="0" xfId="0" applyFont="1"/>
    <xf numFmtId="10" fontId="6" fillId="0" borderId="0" xfId="0" applyNumberFormat="1" applyFont="1"/>
    <xf numFmtId="0" fontId="7" fillId="0" borderId="0" xfId="0" applyFont="1"/>
    <xf numFmtId="0" fontId="8" fillId="0" borderId="0" xfId="0" applyFont="1"/>
    <xf numFmtId="0" fontId="0" fillId="0" borderId="1" xfId="0" applyFill="1" applyBorder="1"/>
    <xf numFmtId="0" fontId="0" fillId="0" borderId="0" xfId="0" applyNumberFormat="1"/>
    <xf numFmtId="0" fontId="1" fillId="0" borderId="0" xfId="0" applyNumberFormat="1" applyFont="1"/>
    <xf numFmtId="0" fontId="8" fillId="0" borderId="0" xfId="0" applyNumberFormat="1" applyFont="1"/>
    <xf numFmtId="0" fontId="7" fillId="0" borderId="0" xfId="0" applyNumberFormat="1" applyFont="1"/>
    <xf numFmtId="0" fontId="0" fillId="0" borderId="1" xfId="0" applyNumberFormat="1" applyFill="1" applyBorder="1"/>
    <xf numFmtId="0" fontId="9" fillId="0" borderId="0" xfId="0" applyFont="1" applyAlignment="1">
      <alignment horizontal="center"/>
    </xf>
    <xf numFmtId="0" fontId="9" fillId="0" borderId="0" xfId="0" applyFont="1" applyBorder="1" applyAlignment="1">
      <alignment horizontal="center" vertical="center"/>
    </xf>
    <xf numFmtId="176" fontId="9" fillId="0" borderId="0" xfId="0" applyNumberFormat="1" applyFont="1" applyBorder="1" applyAlignment="1">
      <alignment horizontal="right" vertical="center"/>
    </xf>
    <xf numFmtId="0" fontId="9" fillId="0" borderId="0" xfId="0" applyFont="1"/>
    <xf numFmtId="10" fontId="9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NumberFormat="1" applyFont="1"/>
    <xf numFmtId="0" fontId="10" fillId="0" borderId="0" xfId="0" applyNumberFormat="1" applyFont="1"/>
    <xf numFmtId="0" fontId="12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176" fontId="12" fillId="0" borderId="0" xfId="0" applyNumberFormat="1" applyFont="1" applyBorder="1" applyAlignment="1">
      <alignment horizontal="right" vertical="center"/>
    </xf>
    <xf numFmtId="0" fontId="12" fillId="0" borderId="0" xfId="0" applyFont="1"/>
    <xf numFmtId="10" fontId="12" fillId="0" borderId="0" xfId="0" applyNumberFormat="1" applyFont="1"/>
    <xf numFmtId="0" fontId="13" fillId="0" borderId="0" xfId="0" applyFont="1"/>
    <xf numFmtId="0" fontId="14" fillId="0" borderId="0" xfId="0" applyFont="1"/>
    <xf numFmtId="0" fontId="14" fillId="0" borderId="0" xfId="0" applyNumberFormat="1" applyFont="1"/>
    <xf numFmtId="0" fontId="13" fillId="0" borderId="0" xfId="0" applyNumberFormat="1" applyFont="1"/>
    <xf numFmtId="0" fontId="15" fillId="2" borderId="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Q21"/>
  <sheetViews>
    <sheetView tabSelected="1" workbookViewId="0">
      <selection activeCell="A22" sqref="A22:XFD22"/>
    </sheetView>
  </sheetViews>
  <sheetFormatPr defaultRowHeight="12.75"/>
  <cols>
    <col min="1" max="2" width="8.7109375" customWidth="1"/>
    <col min="3" max="6" width="16.7109375" customWidth="1"/>
    <col min="10" max="17" width="9.140625" style="18"/>
  </cols>
  <sheetData>
    <row r="1" spans="1:17" s="1" customFormat="1" ht="15">
      <c r="A1" s="3"/>
      <c r="B1" s="7"/>
      <c r="H1"/>
      <c r="I1"/>
      <c r="J1" s="18"/>
      <c r="K1" s="18"/>
      <c r="L1" s="18"/>
      <c r="M1" s="19"/>
      <c r="N1" s="19"/>
      <c r="O1" s="19"/>
      <c r="P1" s="19"/>
      <c r="Q1" s="19"/>
    </row>
    <row r="2" spans="1:17" s="1" customFormat="1" ht="15">
      <c r="A2" s="3"/>
      <c r="B2" s="7"/>
      <c r="H2"/>
      <c r="I2"/>
      <c r="J2" s="18"/>
      <c r="K2" s="18"/>
      <c r="L2" s="18"/>
      <c r="M2" s="19"/>
      <c r="N2" s="19"/>
      <c r="O2" s="19"/>
      <c r="P2" s="19"/>
      <c r="Q2" s="19"/>
    </row>
    <row r="3" spans="1:17" s="1" customFormat="1" ht="20.25">
      <c r="A3" s="4">
        <v>20200728</v>
      </c>
      <c r="B3" s="5"/>
      <c r="C3" s="41" t="s">
        <v>15</v>
      </c>
      <c r="D3" s="41" t="s">
        <v>16</v>
      </c>
      <c r="E3" s="42" t="s">
        <v>17</v>
      </c>
      <c r="F3" s="41" t="s">
        <v>19</v>
      </c>
      <c r="H3"/>
      <c r="I3"/>
      <c r="J3" s="18"/>
      <c r="K3" s="18"/>
      <c r="L3" s="18"/>
      <c r="M3" s="19"/>
      <c r="N3" s="19"/>
      <c r="O3" s="19"/>
      <c r="P3" s="19"/>
      <c r="Q3" s="19"/>
    </row>
    <row r="4" spans="1:17" s="1" customFormat="1" ht="18.75">
      <c r="A4" s="43" t="s">
        <v>14</v>
      </c>
      <c r="B4" s="44" t="s">
        <v>20</v>
      </c>
      <c r="C4" s="41"/>
      <c r="D4" s="41"/>
      <c r="E4" s="42" t="s">
        <v>18</v>
      </c>
      <c r="F4" s="41"/>
      <c r="H4"/>
      <c r="I4"/>
      <c r="J4" s="18"/>
      <c r="K4" s="18"/>
      <c r="L4" s="18"/>
      <c r="M4" s="19"/>
      <c r="N4" s="19"/>
      <c r="O4" s="19"/>
      <c r="P4" s="19"/>
      <c r="Q4" s="19"/>
    </row>
    <row r="5" spans="1:17" s="1" customFormat="1" ht="15">
      <c r="A5" s="3" t="s">
        <v>11</v>
      </c>
      <c r="B5" s="8" t="s">
        <v>1</v>
      </c>
      <c r="C5" s="6">
        <v>56655</v>
      </c>
      <c r="D5" s="6">
        <v>611985</v>
      </c>
      <c r="E5" s="2">
        <v>1150</v>
      </c>
      <c r="F5" s="9">
        <f>ROUND(D5/E5/10,2)%</f>
        <v>0.53220000000000001</v>
      </c>
      <c r="H5"/>
      <c r="I5"/>
      <c r="J5" s="18"/>
      <c r="K5" s="18"/>
      <c r="L5" s="18"/>
      <c r="M5" s="19"/>
      <c r="N5" s="19"/>
      <c r="O5" s="19"/>
      <c r="P5" s="19"/>
      <c r="Q5" s="19"/>
    </row>
    <row r="6" spans="1:17" s="1" customFormat="1" ht="15">
      <c r="A6" s="3" t="s">
        <v>11</v>
      </c>
      <c r="B6" s="8" t="s">
        <v>6</v>
      </c>
      <c r="C6" s="6">
        <v>103745</v>
      </c>
      <c r="D6" s="6">
        <v>1658850</v>
      </c>
      <c r="E6" s="2">
        <v>1450</v>
      </c>
      <c r="F6" s="9">
        <f>ROUND(D6/E6/10,2)%</f>
        <v>1.1440000000000001</v>
      </c>
      <c r="H6"/>
      <c r="I6"/>
      <c r="J6" s="18"/>
      <c r="K6" s="18"/>
      <c r="L6" s="18"/>
      <c r="M6" s="19"/>
      <c r="N6" s="19"/>
      <c r="O6" s="19"/>
      <c r="P6" s="19"/>
      <c r="Q6" s="19"/>
    </row>
    <row r="7" spans="1:17" s="1" customFormat="1" ht="15">
      <c r="A7" s="3" t="s">
        <v>11</v>
      </c>
      <c r="B7" s="8" t="s">
        <v>7</v>
      </c>
      <c r="C7" s="6">
        <v>307919</v>
      </c>
      <c r="D7" s="6">
        <v>1056503</v>
      </c>
      <c r="E7" s="2">
        <v>850</v>
      </c>
      <c r="F7" s="9">
        <f>ROUND(D7/E7/10,2)%</f>
        <v>1.2429000000000001</v>
      </c>
      <c r="H7"/>
      <c r="I7"/>
      <c r="J7" s="18"/>
      <c r="K7" s="18"/>
      <c r="L7" s="18"/>
      <c r="M7" s="19"/>
      <c r="N7" s="19"/>
      <c r="O7" s="19"/>
      <c r="P7" s="19"/>
      <c r="Q7" s="19"/>
    </row>
    <row r="8" spans="1:17" s="28" customFormat="1" ht="15">
      <c r="A8" s="23" t="s">
        <v>11</v>
      </c>
      <c r="B8" s="24" t="s">
        <v>22</v>
      </c>
      <c r="C8" s="25">
        <f>SUM(C5:C7)</f>
        <v>468319</v>
      </c>
      <c r="D8" s="25">
        <f>SUM(D5:D7)</f>
        <v>3327338</v>
      </c>
      <c r="E8" s="26">
        <f>SUM(E5:E7)</f>
        <v>3450</v>
      </c>
      <c r="F8" s="27">
        <f>ROUND(D8/E8/10,2)%</f>
        <v>0.96439999999999992</v>
      </c>
      <c r="H8" s="29"/>
      <c r="I8" s="29"/>
      <c r="J8" s="30"/>
      <c r="K8" s="30"/>
      <c r="L8" s="30"/>
      <c r="M8" s="31"/>
      <c r="N8" s="31"/>
      <c r="O8" s="31"/>
      <c r="P8" s="31"/>
      <c r="Q8" s="31"/>
    </row>
    <row r="9" spans="1:17" s="1" customFormat="1" ht="15">
      <c r="A9" s="3" t="s">
        <v>13</v>
      </c>
      <c r="B9" s="8" t="s">
        <v>4</v>
      </c>
      <c r="C9" s="6">
        <v>67195</v>
      </c>
      <c r="D9" s="6">
        <v>836467</v>
      </c>
      <c r="E9" s="2">
        <v>1300</v>
      </c>
      <c r="F9" s="9">
        <f>ROUND(D9/E9/10,2)%</f>
        <v>0.64340000000000008</v>
      </c>
      <c r="H9"/>
      <c r="I9"/>
      <c r="J9" s="18"/>
      <c r="K9" s="18"/>
      <c r="L9" s="18"/>
      <c r="M9" s="19"/>
      <c r="N9" s="19"/>
      <c r="O9" s="19"/>
      <c r="P9" s="19"/>
      <c r="Q9" s="19"/>
    </row>
    <row r="10" spans="1:17" s="1" customFormat="1" ht="15">
      <c r="A10" s="3" t="s">
        <v>13</v>
      </c>
      <c r="B10" s="8" t="s">
        <v>8</v>
      </c>
      <c r="C10" s="6">
        <v>34188</v>
      </c>
      <c r="D10" s="6">
        <v>614814</v>
      </c>
      <c r="E10" s="2">
        <v>850</v>
      </c>
      <c r="F10" s="9">
        <f>ROUND(D10/E10/10,2)%</f>
        <v>0.72329999999999994</v>
      </c>
      <c r="H10"/>
      <c r="I10"/>
      <c r="J10" s="18"/>
      <c r="K10" s="18"/>
      <c r="L10" s="18"/>
      <c r="M10" s="19"/>
      <c r="N10" s="19"/>
      <c r="O10" s="19"/>
      <c r="P10" s="19"/>
      <c r="Q10" s="19"/>
    </row>
    <row r="11" spans="1:17" s="28" customFormat="1" ht="15">
      <c r="A11" s="23" t="s">
        <v>13</v>
      </c>
      <c r="B11" s="24" t="s">
        <v>22</v>
      </c>
      <c r="C11" s="25">
        <f>SUM(C9:C10)</f>
        <v>101383</v>
      </c>
      <c r="D11" s="25">
        <f>SUM(D9:D10)</f>
        <v>1451281</v>
      </c>
      <c r="E11" s="26">
        <f>SUM(E9:E10)</f>
        <v>2150</v>
      </c>
      <c r="F11" s="27">
        <f>ROUND(D11/E11/10,2)%</f>
        <v>0.67500000000000004</v>
      </c>
      <c r="H11" s="29"/>
      <c r="I11" s="29"/>
      <c r="J11" s="30"/>
      <c r="K11" s="30"/>
      <c r="L11" s="30"/>
      <c r="M11" s="31"/>
      <c r="N11" s="31"/>
      <c r="O11" s="31"/>
      <c r="P11" s="31"/>
      <c r="Q11" s="31"/>
    </row>
    <row r="12" spans="1:17" s="1" customFormat="1" ht="15">
      <c r="A12" s="3" t="s">
        <v>10</v>
      </c>
      <c r="B12" s="8" t="s">
        <v>0</v>
      </c>
      <c r="C12" s="6">
        <v>3869</v>
      </c>
      <c r="D12" s="6">
        <v>211749</v>
      </c>
      <c r="E12" s="2">
        <v>250</v>
      </c>
      <c r="F12" s="9">
        <f>ROUND(D12/E12/10,2)%</f>
        <v>0.84699999999999998</v>
      </c>
      <c r="H12"/>
      <c r="I12"/>
      <c r="J12" s="18"/>
      <c r="K12" s="18"/>
      <c r="L12" s="18"/>
      <c r="M12" s="19"/>
      <c r="N12" s="19"/>
      <c r="O12" s="19"/>
      <c r="P12" s="19"/>
      <c r="Q12" s="19"/>
    </row>
    <row r="13" spans="1:17" s="1" customFormat="1" ht="15">
      <c r="A13" s="3" t="s">
        <v>10</v>
      </c>
      <c r="B13" s="8" t="s">
        <v>2</v>
      </c>
      <c r="C13" s="6">
        <v>17798</v>
      </c>
      <c r="D13" s="6">
        <v>946120</v>
      </c>
      <c r="E13" s="2">
        <v>1650</v>
      </c>
      <c r="F13" s="9">
        <f>ROUND(D13/E13/10,2)%</f>
        <v>0.57340000000000002</v>
      </c>
      <c r="H13"/>
      <c r="I13"/>
      <c r="J13" s="18"/>
      <c r="K13" s="18"/>
      <c r="L13" s="18"/>
      <c r="M13" s="19"/>
      <c r="N13" s="19"/>
      <c r="O13" s="19"/>
      <c r="P13" s="19"/>
      <c r="Q13" s="19"/>
    </row>
    <row r="14" spans="1:17" s="28" customFormat="1" ht="15">
      <c r="A14" s="23" t="s">
        <v>10</v>
      </c>
      <c r="B14" s="24" t="s">
        <v>22</v>
      </c>
      <c r="C14" s="25">
        <f>SUM(C12:C13)</f>
        <v>21667</v>
      </c>
      <c r="D14" s="25">
        <f>SUM(D12:D13)</f>
        <v>1157869</v>
      </c>
      <c r="E14" s="26">
        <f>SUM(E12:E13)</f>
        <v>1900</v>
      </c>
      <c r="F14" s="27">
        <f>ROUND(D14/E14/10,2)%</f>
        <v>0.60939999999999994</v>
      </c>
      <c r="H14" s="29"/>
      <c r="I14" s="29"/>
      <c r="J14" s="30"/>
      <c r="K14" s="30"/>
      <c r="L14" s="30"/>
      <c r="M14" s="31"/>
      <c r="N14" s="31"/>
      <c r="O14" s="31"/>
      <c r="P14" s="31"/>
      <c r="Q14" s="31"/>
    </row>
    <row r="15" spans="1:17" s="37" customFormat="1" ht="15">
      <c r="A15" s="32" t="s">
        <v>23</v>
      </c>
      <c r="B15" s="33" t="s">
        <v>22</v>
      </c>
      <c r="C15" s="34">
        <f>SUM(C5:C14)/2</f>
        <v>591369</v>
      </c>
      <c r="D15" s="34">
        <f>SUM(D5:D14)/2</f>
        <v>5936488</v>
      </c>
      <c r="E15" s="35">
        <f>SUM(E5:E14)/2</f>
        <v>7500</v>
      </c>
      <c r="F15" s="36">
        <f>ROUND(D15/E15/10,2)%</f>
        <v>0.79150000000000009</v>
      </c>
      <c r="H15" s="38"/>
      <c r="I15" s="38"/>
      <c r="J15" s="39"/>
      <c r="K15" s="39"/>
      <c r="L15" s="39"/>
      <c r="M15" s="40"/>
      <c r="N15" s="40"/>
      <c r="O15" s="40"/>
      <c r="P15" s="40"/>
      <c r="Q15" s="40"/>
    </row>
    <row r="16" spans="1:17" s="1" customFormat="1" ht="15">
      <c r="A16" s="3" t="s">
        <v>12</v>
      </c>
      <c r="B16" s="8" t="s">
        <v>3</v>
      </c>
      <c r="C16" s="6">
        <v>0</v>
      </c>
      <c r="D16" s="6">
        <v>1860248</v>
      </c>
      <c r="E16" s="2">
        <v>0</v>
      </c>
      <c r="F16" s="9">
        <v>0</v>
      </c>
      <c r="H16"/>
      <c r="I16"/>
      <c r="J16" s="18"/>
      <c r="K16" s="18"/>
      <c r="L16" s="18"/>
      <c r="M16" s="19"/>
      <c r="N16" s="19"/>
      <c r="O16" s="19"/>
      <c r="P16" s="19"/>
      <c r="Q16" s="19"/>
    </row>
    <row r="17" spans="1:17" s="1" customFormat="1" ht="15">
      <c r="A17" s="3" t="s">
        <v>12</v>
      </c>
      <c r="B17" s="8" t="s">
        <v>5</v>
      </c>
      <c r="C17" s="6">
        <v>18429</v>
      </c>
      <c r="D17" s="6">
        <v>598064</v>
      </c>
      <c r="E17" s="2">
        <v>0</v>
      </c>
      <c r="F17" s="9">
        <v>0</v>
      </c>
      <c r="H17"/>
      <c r="I17"/>
      <c r="J17" s="18"/>
      <c r="K17" s="18"/>
      <c r="L17" s="18"/>
      <c r="M17" s="19"/>
      <c r="N17" s="19"/>
      <c r="O17" s="19"/>
      <c r="P17" s="19"/>
      <c r="Q17" s="19"/>
    </row>
    <row r="18" spans="1:17" s="1" customFormat="1" ht="15">
      <c r="A18" s="3" t="s">
        <v>12</v>
      </c>
      <c r="B18" s="8" t="s">
        <v>9</v>
      </c>
      <c r="C18" s="6">
        <v>0</v>
      </c>
      <c r="D18" s="6">
        <v>5987</v>
      </c>
      <c r="E18" s="2">
        <v>0</v>
      </c>
      <c r="F18" s="9">
        <v>0</v>
      </c>
      <c r="H18"/>
      <c r="I18"/>
      <c r="J18" s="18"/>
      <c r="K18" s="18"/>
      <c r="L18" s="18"/>
      <c r="M18" s="19"/>
      <c r="N18" s="19"/>
      <c r="O18" s="19"/>
      <c r="P18" s="19"/>
      <c r="Q18" s="19"/>
    </row>
    <row r="19" spans="1:17" s="37" customFormat="1" ht="15">
      <c r="A19" s="32" t="s">
        <v>12</v>
      </c>
      <c r="B19" s="33" t="s">
        <v>22</v>
      </c>
      <c r="C19" s="34">
        <f>SUM(C16:C18)</f>
        <v>18429</v>
      </c>
      <c r="D19" s="34">
        <f>SUM(D16:D18)</f>
        <v>2464299</v>
      </c>
      <c r="E19" s="35">
        <f>SUM(E16:E18)</f>
        <v>0</v>
      </c>
      <c r="F19" s="36">
        <v>0</v>
      </c>
      <c r="H19" s="38"/>
      <c r="I19" s="38"/>
      <c r="J19" s="39"/>
      <c r="K19" s="39"/>
      <c r="L19" s="39"/>
      <c r="M19" s="40"/>
      <c r="N19" s="40"/>
      <c r="O19" s="40"/>
      <c r="P19" s="40"/>
      <c r="Q19" s="40"/>
    </row>
    <row r="20" spans="1:17" s="15" customFormat="1" ht="15">
      <c r="A20" s="10" t="s">
        <v>21</v>
      </c>
      <c r="B20" s="11" t="s">
        <v>22</v>
      </c>
      <c r="C20" s="12">
        <v>609798</v>
      </c>
      <c r="D20" s="12">
        <v>8400787</v>
      </c>
      <c r="E20" s="13">
        <v>7500</v>
      </c>
      <c r="F20" s="14">
        <v>1.1201000000000001</v>
      </c>
      <c r="H20" s="16"/>
      <c r="I20" s="16"/>
      <c r="J20" s="20"/>
      <c r="K20" s="20"/>
      <c r="L20" s="20"/>
      <c r="M20" s="21"/>
      <c r="N20" s="21"/>
      <c r="O20" s="21"/>
      <c r="P20" s="21"/>
      <c r="Q20" s="21"/>
    </row>
    <row r="21" spans="1:17" s="17" customFormat="1" ht="30" customHeight="1">
      <c r="J21" s="22"/>
      <c r="K21" s="22"/>
      <c r="L21" s="22"/>
      <c r="M21" s="22"/>
      <c r="N21" s="22"/>
      <c r="O21" s="22"/>
      <c r="P21" s="22"/>
      <c r="Q21" s="22"/>
    </row>
  </sheetData>
  <mergeCells count="4">
    <mergeCell ref="A3:B3"/>
    <mergeCell ref="C3:C4"/>
    <mergeCell ref="D3:D4"/>
    <mergeCell ref="F3:F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2020-07-28T07:55:55Z</dcterms:created>
  <dcterms:modified xsi:type="dcterms:W3CDTF">2020-07-28T07:55:56Z</dcterms:modified>
</cp:coreProperties>
</file>