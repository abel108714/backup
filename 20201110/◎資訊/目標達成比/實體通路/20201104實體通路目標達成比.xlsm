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3"/>
  <c r="H13" s="1"/>
  <c r="D12"/>
  <c r="C12"/>
  <c r="I12"/>
  <c r="H12"/>
  <c r="D11"/>
  <c r="C11"/>
  <c r="I11"/>
  <c r="H11"/>
  <c r="D10"/>
  <c r="C10"/>
  <c r="H10" s="1"/>
  <c r="I10"/>
  <c r="AC9"/>
  <c r="AC14" s="1"/>
  <c r="AB9"/>
  <c r="AB14" s="1"/>
  <c r="AA9"/>
  <c r="Z9"/>
  <c r="Z14" s="1"/>
  <c r="X9"/>
  <c r="X14" s="1"/>
  <c r="K9"/>
  <c r="K14" s="1"/>
  <c r="J9"/>
  <c r="C8"/>
  <c r="D8" s="1"/>
  <c r="I8"/>
  <c r="C7"/>
  <c r="D7" s="1"/>
  <c r="I7"/>
  <c r="AC6"/>
  <c r="AB6"/>
  <c r="AA6"/>
  <c r="AA14" s="1"/>
  <c r="Z6"/>
  <c r="X6"/>
  <c r="K6"/>
  <c r="J6"/>
  <c r="J14" s="1"/>
  <c r="C5"/>
  <c r="H5" s="1"/>
  <c r="I5"/>
  <c r="D3"/>
  <c r="C3"/>
  <c r="I3"/>
  <c r="H3"/>
  <c r="D4"/>
  <c r="C4"/>
  <c r="H4" s="1"/>
  <c r="I4"/>
  <c r="F13"/>
  <c r="E13"/>
  <c r="I13" s="1"/>
  <c r="B13"/>
  <c r="F9"/>
  <c r="E9"/>
  <c r="B9"/>
  <c r="F6"/>
  <c r="E6"/>
  <c r="B6"/>
  <c r="G12"/>
  <c r="G11"/>
  <c r="G10"/>
  <c r="G8"/>
  <c r="G7"/>
  <c r="G5"/>
  <c r="G3"/>
  <c r="G4"/>
  <c r="D13" l="1"/>
  <c r="E14"/>
  <c r="F14"/>
  <c r="D9"/>
  <c r="C9"/>
  <c r="H9" s="1"/>
  <c r="G14"/>
  <c r="H7"/>
  <c r="H8"/>
  <c r="I9"/>
  <c r="B14"/>
  <c r="C6"/>
  <c r="I6"/>
  <c r="D5"/>
  <c r="G9"/>
  <c r="G13"/>
  <c r="G6"/>
  <c r="H6" l="1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<sst xmlns="http://schemas.openxmlformats.org/spreadsheetml/2006/main" count="51" uniqueCount="47">
  <si>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</si>
  <si>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</si>
  <si>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</si>
  <si>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</si>
  <si>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</si>
  <si>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</si>
  <si>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</si>
  <si>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</si>
  <si>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</si>
  <si>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</si>
  <si>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</si>
  <si>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</si>
  <si>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</si>
  <si>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</si>
  <si>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</si>
  <si>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</si>
  <si>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</si>
  <si>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</si>
  <si>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</si>
  <si>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</si>
  <si>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</si>
  <si>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</si>
  <si>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</si>
  <si>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</si>
  <si>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</si>
  <si>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</si>
  <si>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</si>
  <si>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</si>
  <si>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</si>
  <si>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</si>
  <si>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</si>
  <si>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</si>
  <si>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</si>
  <si>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</si>
  <si>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</si>
  <si>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</si>
  <si>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</si>
  <si>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</si>
  <si>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</si>
  <si>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</si>
  <si>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</si>
  <si>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</si>
  <si>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</si>
  <si>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</si>
  <si>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</si>
  <si>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</si>
  <si>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2020/11/01-2020/11/04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</si>
</sst>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44139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5526</v>
      </c>
      <c r="C3" s="1">
        <f>F3/21</f>
        <v>66666.666666666672</v>
      </c>
      <c r="D3" s="3">
        <f>B3/C3</f>
        <v>8.2889999999999991E-2</v>
      </c>
      <c r="E3" s="1">
        <v>153079</v>
      </c>
      <c r="F3" s="18">
        <v>1400000</v>
      </c>
      <c r="G3" s="8">
        <f xml:space="preserve"> E3/F3</f>
        <v>0.10934214285714286</v>
      </c>
      <c r="H3" s="7">
        <f>E3-C3*2</f>
        <v>19745.666666666657</v>
      </c>
      <c r="I3" s="9">
        <f>E3-F3</f>
        <v>-1246921</v>
      </c>
      <c r="J3" s="29">
        <v>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660</v>
      </c>
      <c r="C4" s="1">
        <f>F4/21</f>
        <v>57142.857142857145</v>
      </c>
      <c r="D4" s="3">
        <f>B4/C4</f>
        <v>1.155E-2</v>
      </c>
      <c r="E4" s="1">
        <v>92635</v>
      </c>
      <c r="F4" s="18">
        <v>1200000</v>
      </c>
      <c r="G4" s="8">
        <f xml:space="preserve"> E4/F4</f>
        <v>7.7195833333333339E-2</v>
      </c>
      <c r="H4" s="7">
        <f>E4-C4*2</f>
        <v>-21650.71428571429</v>
      </c>
      <c r="I4" s="9">
        <f>E4-F4</f>
        <v>-1107365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-1</v>
      </c>
      <c r="AB4" s="29">
        <v>0</v>
      </c>
      <c r="AC4" s="29">
        <v>0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25988</v>
      </c>
      <c r="C5" s="1">
        <f>F5/21</f>
        <v>38095.238095238092</v>
      </c>
      <c r="D5" s="3">
        <f>B5/C5</f>
        <v>0.68218500000000004</v>
      </c>
      <c r="E5" s="1">
        <v>118585</v>
      </c>
      <c r="F5" s="18">
        <v>800000</v>
      </c>
      <c r="G5" s="8">
        <f xml:space="preserve"> E5/F5</f>
        <v>0.14823125000000001</v>
      </c>
      <c r="H5" s="7">
        <f>E5-C5*2</f>
        <v>42394.523809523816</v>
      </c>
      <c r="I5" s="9">
        <f>E5-F5</f>
        <v>-681415</v>
      </c>
      <c r="J5" s="29">
        <v>0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32174</v>
      </c>
      <c r="C6" s="2">
        <f>SUM(C3:C5)</f>
        <v>161904.76190476189</v>
      </c>
      <c r="D6" s="4">
        <f>B6/C6</f>
        <v>0.19872176470588238</v>
      </c>
      <c r="E6" s="2">
        <f>SUM(E3:E5)</f>
        <v>364299</v>
      </c>
      <c r="F6" s="19">
        <f>SUM(F3:F5)</f>
        <v>3400000</v>
      </c>
      <c r="G6" s="11">
        <f xml:space="preserve"> E6/F6</f>
        <v>0.10714676470588236</v>
      </c>
      <c r="H6" s="10">
        <f>E6-C6*2</f>
        <v>40489.476190476213</v>
      </c>
      <c r="I6" s="12">
        <f>E6-F6</f>
        <v>-3035701</v>
      </c>
      <c r="J6" s="30">
        <f>SUM(J3:J5)</f>
        <v>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-1</v>
      </c>
      <c r="AB6" s="30">
        <f>SUM(AB3:AB5)</f>
        <v>0</v>
      </c>
      <c r="AC6" s="30">
        <f>SUM(AC3:AC5)</f>
        <v>0</v>
      </c>
      <c r="AD6" s="10"/>
      <c r="AE6" s="10"/>
      <c r="AF6" s="10"/>
    </row>
    <row r="7" spans="1:32" ht="30" customHeight="1">
      <c r="A7" s="23" t="s">
        <v>4</v>
      </c>
      <c r="B7" s="1">
        <v>32993</v>
      </c>
      <c r="C7" s="1">
        <f>F7/21</f>
        <v>57142.857142857145</v>
      </c>
      <c r="D7" s="3">
        <f>B7/C7</f>
        <v>0.57737749999999999</v>
      </c>
      <c r="E7" s="1">
        <v>292353</v>
      </c>
      <c r="F7" s="18">
        <v>1200000</v>
      </c>
      <c r="G7" s="8">
        <f xml:space="preserve"> E7/F7</f>
        <v>0.2436275</v>
      </c>
      <c r="H7" s="7">
        <f>E7-C7*2</f>
        <v>178067.28571428571</v>
      </c>
      <c r="I7" s="9">
        <f>E7-F7</f>
        <v>-907647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0</v>
      </c>
      <c r="AC7" s="29">
        <v>0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10385</v>
      </c>
      <c r="C8" s="1">
        <f>F8/21</f>
        <v>38095.238095238092</v>
      </c>
      <c r="D8" s="3">
        <f>B8/C8</f>
        <v>0.27260625000000005</v>
      </c>
      <c r="E8" s="1">
        <v>81957</v>
      </c>
      <c r="F8" s="18">
        <v>800000</v>
      </c>
      <c r="G8" s="8">
        <f xml:space="preserve"> E8/F8</f>
        <v>0.10244625</v>
      </c>
      <c r="H8" s="7">
        <f>E8-C8*2</f>
        <v>5766.5238095238165</v>
      </c>
      <c r="I8" s="9">
        <f>E8-F8</f>
        <v>-718043</v>
      </c>
      <c r="J8" s="29">
        <v>0</v>
      </c>
      <c r="K8" s="29">
        <v>0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43378</v>
      </c>
      <c r="C9" s="2">
        <f>SUM(C7:C8)</f>
        <v>95238.095238095237</v>
      </c>
      <c r="D9" s="4">
        <f>B9/C9</f>
        <v>0.45546900000000001</v>
      </c>
      <c r="E9" s="2">
        <f>SUM(E7:E8)</f>
        <v>374310</v>
      </c>
      <c r="F9" s="19">
        <f>SUM(F7:F8)</f>
        <v>2000000</v>
      </c>
      <c r="G9" s="11">
        <f xml:space="preserve"> E9/F9</f>
        <v>0.18715499999999999</v>
      </c>
      <c r="H9" s="10">
        <f>E9-C9*2</f>
        <v>183833.80952380953</v>
      </c>
      <c r="I9" s="12">
        <f>E9-F9</f>
        <v>-1625690</v>
      </c>
      <c r="J9" s="30">
        <f>SUM(J7:J8)</f>
        <v>2</v>
      </c>
      <c r="K9" s="30">
        <f>SUM(K7:K8)</f>
        <v>0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1</v>
      </c>
      <c r="AA9" s="30">
        <f>SUM(AA7:AA8)</f>
        <v>0</v>
      </c>
      <c r="AB9" s="30">
        <f>SUM(AB7:AB8)</f>
        <v>0</v>
      </c>
      <c r="AC9" s="30">
        <f>SUM(AC7:AC8)</f>
        <v>0</v>
      </c>
      <c r="AD9" s="10"/>
      <c r="AE9" s="10"/>
      <c r="AF9" s="10"/>
    </row>
    <row r="10" spans="1:32" ht="30" customHeight="1">
      <c r="A10" s="23" t="s">
        <v>1</v>
      </c>
      <c r="B10" s="1">
        <v>590</v>
      </c>
      <c r="C10" s="1">
        <f>F10/21</f>
        <v>9523.8095238095229</v>
      </c>
      <c r="D10" s="3">
        <f>B10/C10</f>
        <v>6.1950000000000005E-2</v>
      </c>
      <c r="E10" s="1">
        <v>18293</v>
      </c>
      <c r="F10" s="18">
        <v>200000</v>
      </c>
      <c r="G10" s="8">
        <f xml:space="preserve"> E10/F10</f>
        <v>9.1465000000000005E-2</v>
      </c>
      <c r="H10" s="7">
        <f>E10-C10*2</f>
        <v>-754.61904761904589</v>
      </c>
      <c r="I10" s="9">
        <f>E10-F10</f>
        <v>-181707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19703</v>
      </c>
      <c r="C11" s="1">
        <f>F11/21</f>
        <v>47619.047619047618</v>
      </c>
      <c r="D11" s="3">
        <f>B11/C11</f>
        <v>0.41376299999999999</v>
      </c>
      <c r="E11" s="1">
        <v>189602</v>
      </c>
      <c r="F11" s="18">
        <v>1000000</v>
      </c>
      <c r="G11" s="8">
        <f xml:space="preserve"> E11/F11</f>
        <v>0.18960199999999999</v>
      </c>
      <c r="H11" s="7">
        <f>E11-C11*2</f>
        <v>94363.904761904763</v>
      </c>
      <c r="I11" s="9">
        <f>E11-F11</f>
        <v>-810398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1</v>
      </c>
      <c r="AA11" s="29">
        <v>0</v>
      </c>
      <c r="AB11" s="29">
        <v>0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9790</v>
      </c>
      <c r="C12" s="1">
        <f>F12/21</f>
        <v>14285.714285714286</v>
      </c>
      <c r="D12" s="3">
        <f>B12/C12</f>
        <v>0.68530000000000002</v>
      </c>
      <c r="E12" s="1">
        <v>20608</v>
      </c>
      <c r="F12" s="18">
        <v>300000</v>
      </c>
      <c r="G12" s="8">
        <f xml:space="preserve"> E12/F12</f>
        <v>6.8693333333333328E-2</v>
      </c>
      <c r="H12" s="7">
        <f>E12-C12*2</f>
        <v>-7963.4285714285725</v>
      </c>
      <c r="I12" s="9">
        <f>E12-F12</f>
        <v>-279392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0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30083</v>
      </c>
      <c r="C13" s="2">
        <f>SUM(C10:C12)</f>
        <v>71428.571428571435</v>
      </c>
      <c r="D13" s="4">
        <f>B13/C13</f>
        <v>0.42116199999999998</v>
      </c>
      <c r="E13" s="2">
        <f>SUM(E10:E12)</f>
        <v>228503</v>
      </c>
      <c r="F13" s="19">
        <f>SUM(F10:F12)</f>
        <v>1500000</v>
      </c>
      <c r="G13" s="11">
        <f xml:space="preserve"> E13/F13</f>
        <v>0.15233533333333332</v>
      </c>
      <c r="H13" s="10">
        <f>E13-C13*2</f>
        <v>85645.85714285713</v>
      </c>
      <c r="I13" s="12">
        <f>E13-F13</f>
        <v>-1271497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1</v>
      </c>
      <c r="AA13" s="30">
        <f>SUM(AA10:AA12)</f>
        <v>0</v>
      </c>
      <c r="AB13" s="30">
        <f>SUM(AB10:AB12)</f>
        <v>0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105635</v>
      </c>
      <c r="C14" s="15">
        <f>C6+C9+C13</f>
        <v>328571.42857142858</v>
      </c>
      <c r="D14" s="16">
        <f>B14/C14</f>
        <v>0.32149782608695654</v>
      </c>
      <c r="E14" s="15">
        <f>E6+E9+E13</f>
        <v>967112</v>
      </c>
      <c r="F14" s="20">
        <f>F6+F9+F13</f>
        <v>6900000</v>
      </c>
      <c r="G14" s="16">
        <f>E14/F14</f>
        <v>0.14016115942028987</v>
      </c>
      <c r="H14" s="14"/>
      <c r="I14" s="14"/>
      <c r="J14" s="31">
        <f>J6+J9+J13</f>
        <v>3</v>
      </c>
      <c r="K14" s="31">
        <f>K6+K9+K13</f>
        <v>0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2</v>
      </c>
      <c r="AA14" s="31">
        <f>AA6+AA9+AA13</f>
        <v>-1</v>
      </c>
      <c r="AB14" s="31">
        <f>AB6+AB9+AB13</f>
        <v>0</v>
      </c>
      <c r="AC14" s="31">
        <f>AC6+AC9+AC13</f>
        <v>0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2020-11-04T09:44:54Z</dcterms:created>
  <dcterms:modified xsi:type="dcterms:W3CDTF">2020-11-04T09:44:55Z</dcterms:modified>
</cp:coreProperties>
</file>