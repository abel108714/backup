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H11" s="1"/>
  <c r="I11"/>
  <c r="D10"/>
  <c r="C10"/>
  <c r="H10" s="1"/>
  <c r="I10"/>
  <c r="AC9"/>
  <c r="AB9"/>
  <c r="AA9"/>
  <c r="Z9"/>
  <c r="X9"/>
  <c r="K9"/>
  <c r="J9"/>
  <c r="C8"/>
  <c r="H8" s="1"/>
  <c r="I8"/>
  <c r="D7"/>
  <c r="C7"/>
  <c r="H7" s="1"/>
  <c r="I7"/>
  <c r="AC6"/>
  <c r="AC14" s="1"/>
  <c r="AB6"/>
  <c r="AB14" s="1"/>
  <c r="AA6"/>
  <c r="Z6"/>
  <c r="Z14" s="1"/>
  <c r="X6"/>
  <c r="X14" s="1"/>
  <c r="K6"/>
  <c r="K14" s="1"/>
  <c r="J6"/>
  <c r="D5"/>
  <c r="C5"/>
  <c r="H5" s="1"/>
  <c r="I5"/>
  <c r="C3"/>
  <c r="D3" s="1"/>
  <c r="I3"/>
  <c r="C4"/>
  <c r="D4" s="1"/>
  <c r="I4"/>
  <c r="F13"/>
  <c r="E13"/>
  <c r="I13" s="1"/>
  <c r="B13"/>
  <c r="F9"/>
  <c r="I9" s="1"/>
  <c r="E9"/>
  <c r="B9"/>
  <c r="F6"/>
  <c r="F14" s="1"/>
  <c r="E6"/>
  <c r="G6" s="1"/>
  <c r="B6"/>
  <c r="G12"/>
  <c r="G11"/>
  <c r="G10"/>
  <c r="G8"/>
  <c r="G7"/>
  <c r="G5"/>
  <c r="G3"/>
  <c r="G4"/>
  <c r="C13" l="1"/>
  <c r="D11"/>
  <c r="D9"/>
  <c r="C9"/>
  <c r="H9" s="1"/>
  <c r="B14"/>
  <c r="J14"/>
  <c r="AA14"/>
  <c r="D8"/>
  <c r="H4"/>
  <c r="H3"/>
  <c r="C6"/>
  <c r="I6"/>
  <c r="E14"/>
  <c r="G14" s="1"/>
  <c r="G9"/>
  <c r="G13"/>
  <c r="H13" l="1"/>
  <c r="D13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<sst xmlns="http://schemas.openxmlformats.org/spreadsheetml/2006/main" count="51" uniqueCount="47">
  <si>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</si>
  <si>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</si>
  <si>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</si>
  <si>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</si>
  <si>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</si>
  <si>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</si>
  <si>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</si>
  <si>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</si>
  <si>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</si>
  <si>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</si>
  <si>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</si>
  <si>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</si>
  <si>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</si>
  <si>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</si>
  <si>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</si>
  <si>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</si>
  <si>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</si>
  <si>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</si>
  <si>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</si>
  <si>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</si>
  <si>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</si>
  <si>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</si>
  <si>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</si>
  <si>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</si>
  <si>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</si>
  <si>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</si>
  <si>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</si>
  <si>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</si>
  <si>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</si>
  <si>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</si>
  <si>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</si>
  <si>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</si>
  <si>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</si>
  <si>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</si>
  <si>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</si>
  <si>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</si>
  <si>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</si>
  <si>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</si>
  <si>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</si>
  <si>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</si>
  <si>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</si>
  <si>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</si>
  <si>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</si>
  <si>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</si>
  <si>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</si>
  <si>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</si>
  <si>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2020/11/01-2020/11/18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</si>
</sst>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44153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44</v>
      </c>
      <c r="C2" s="21" t="s">
        <v>12</v>
      </c>
      <c r="D2" s="21" t="s">
        <v>13</v>
      </c>
      <c r="E2" s="21" t="s">
        <v>14</v>
      </c>
      <c r="F2" s="21" t="s">
        <v>15</v>
      </c>
      <c r="G2" s="21" t="s">
        <v>16</v>
      </c>
      <c r="H2" s="21" t="s">
        <v>17</v>
      </c>
      <c r="I2" s="33" t="s">
        <v>18</v>
      </c>
      <c r="J2" s="21" t="s">
        <v>19</v>
      </c>
      <c r="K2" s="21" t="s">
        <v>20</v>
      </c>
      <c r="L2" s="21" t="s">
        <v>21</v>
      </c>
      <c r="M2" s="21" t="s">
        <v>22</v>
      </c>
      <c r="N2" s="21" t="s">
        <v>23</v>
      </c>
      <c r="O2" s="21" t="s">
        <v>24</v>
      </c>
      <c r="P2" s="21" t="s">
        <v>25</v>
      </c>
      <c r="Q2" s="21" t="s">
        <v>26</v>
      </c>
      <c r="R2" s="21" t="s">
        <v>27</v>
      </c>
      <c r="S2" s="21" t="s">
        <v>28</v>
      </c>
      <c r="T2" s="21" t="s">
        <v>29</v>
      </c>
      <c r="U2" s="21" t="s">
        <v>30</v>
      </c>
      <c r="V2" s="21" t="s">
        <v>22</v>
      </c>
      <c r="W2" s="21" t="s">
        <v>31</v>
      </c>
      <c r="X2" s="21" t="s">
        <v>32</v>
      </c>
      <c r="Y2" s="21" t="s">
        <v>33</v>
      </c>
      <c r="Z2" s="21" t="s">
        <v>34</v>
      </c>
      <c r="AA2" s="21" t="s">
        <v>35</v>
      </c>
      <c r="AB2" s="21" t="s">
        <v>36</v>
      </c>
      <c r="AC2" s="21">
        <v>6055</v>
      </c>
      <c r="AD2" s="21" t="s">
        <v>37</v>
      </c>
      <c r="AE2" s="21" t="s">
        <v>38</v>
      </c>
      <c r="AF2" s="21" t="s">
        <v>39</v>
      </c>
    </row>
    <row r="3" spans="1:32" ht="30" customHeight="1">
      <c r="A3" s="23" t="s">
        <v>5</v>
      </c>
      <c r="B3" s="1">
        <v>94865</v>
      </c>
      <c r="C3" s="1">
        <f>F3/21</f>
        <v>66666.666666666672</v>
      </c>
      <c r="D3" s="3">
        <f>B3/C3</f>
        <v>1.4229749999999999</v>
      </c>
      <c r="E3" s="1">
        <v>620976</v>
      </c>
      <c r="F3" s="18">
        <v>1400000</v>
      </c>
      <c r="G3" s="8">
        <f xml:space="preserve"> E3/F3</f>
        <v>0.44355428571428573</v>
      </c>
      <c r="H3" s="7">
        <f>E3-C3*2</f>
        <v>487642.66666666663</v>
      </c>
      <c r="I3" s="9">
        <f>E3-F3</f>
        <v>-779024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41</v>
      </c>
      <c r="AF3" s="7"/>
    </row>
    <row r="4" spans="1:32" ht="30" customHeight="1">
      <c r="A4" s="23" t="s">
        <v>2</v>
      </c>
      <c r="B4" s="1">
        <v>19571</v>
      </c>
      <c r="C4" s="1">
        <f>F4/21</f>
        <v>57142.857142857145</v>
      </c>
      <c r="D4" s="3">
        <f>B4/C4</f>
        <v>0.34249249999999998</v>
      </c>
      <c r="E4" s="1">
        <v>535805</v>
      </c>
      <c r="F4" s="18">
        <v>1200000</v>
      </c>
      <c r="G4" s="8">
        <f xml:space="preserve"> E4/F4</f>
        <v>0.44650416666666665</v>
      </c>
      <c r="H4" s="7">
        <f>E4-C4*2</f>
        <v>421519.28571428568</v>
      </c>
      <c r="I4" s="9">
        <f>E4-F4</f>
        <v>-664195</v>
      </c>
      <c r="J4" s="29">
        <v>2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40</v>
      </c>
      <c r="AF4" s="7"/>
    </row>
    <row r="5" spans="1:32" ht="30" customHeight="1">
      <c r="A5" s="23" t="s">
        <v>6</v>
      </c>
      <c r="B5" s="1">
        <v>14074</v>
      </c>
      <c r="C5" s="1">
        <f>F5/21</f>
        <v>38095.238095238092</v>
      </c>
      <c r="D5" s="3">
        <f>B5/C5</f>
        <v>0.36944250000000001</v>
      </c>
      <c r="E5" s="1">
        <v>358343</v>
      </c>
      <c r="F5" s="18">
        <v>800000</v>
      </c>
      <c r="G5" s="8">
        <f xml:space="preserve"> E5/F5</f>
        <v>0.44792874999999999</v>
      </c>
      <c r="H5" s="7">
        <f>E5-C5*2</f>
        <v>282152.52380952379</v>
      </c>
      <c r="I5" s="9">
        <f>E5-F5</f>
        <v>-441657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40</v>
      </c>
      <c r="AF5" s="7"/>
    </row>
    <row r="6" spans="1:32" s="13" customFormat="1" ht="30" customHeight="1">
      <c r="A6" s="24" t="s">
        <v>11</v>
      </c>
      <c r="B6" s="2">
        <f>SUM(B3:B5)</f>
        <v>128510</v>
      </c>
      <c r="C6" s="2">
        <f>SUM(C3:C5)</f>
        <v>161904.76190476189</v>
      </c>
      <c r="D6" s="4">
        <f>B6/C6</f>
        <v>0.79373823529411769</v>
      </c>
      <c r="E6" s="2">
        <f>SUM(E3:E5)</f>
        <v>1515124</v>
      </c>
      <c r="F6" s="19">
        <f>SUM(F3:F5)</f>
        <v>3400000</v>
      </c>
      <c r="G6" s="11">
        <f xml:space="preserve"> E6/F6</f>
        <v>0.44562470588235292</v>
      </c>
      <c r="H6" s="10">
        <f>E6-C6*2</f>
        <v>1191314.4761904762</v>
      </c>
      <c r="I6" s="12">
        <f>E6-F6</f>
        <v>-1884876</v>
      </c>
      <c r="J6" s="30">
        <f>SUM(J3:J5)</f>
        <v>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1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21819</v>
      </c>
      <c r="C7" s="1">
        <f>F7/21</f>
        <v>57142.857142857145</v>
      </c>
      <c r="D7" s="3">
        <f>B7/C7</f>
        <v>0.38183249999999996</v>
      </c>
      <c r="E7" s="1">
        <v>992767</v>
      </c>
      <c r="F7" s="18">
        <v>1200000</v>
      </c>
      <c r="G7" s="8">
        <f xml:space="preserve"> E7/F7</f>
        <v>0.8273058333333333</v>
      </c>
      <c r="H7" s="7">
        <f>E7-C7*2</f>
        <v>878481.28571428568</v>
      </c>
      <c r="I7" s="9">
        <f>E7-F7</f>
        <v>-207233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41</v>
      </c>
      <c r="AF7" s="7"/>
    </row>
    <row r="8" spans="1:32" ht="30" customHeight="1">
      <c r="A8" s="23" t="s">
        <v>7</v>
      </c>
      <c r="B8" s="1">
        <v>13293</v>
      </c>
      <c r="C8" s="1">
        <f>F8/21</f>
        <v>38095.238095238092</v>
      </c>
      <c r="D8" s="3">
        <f>B8/C8</f>
        <v>0.34894125000000004</v>
      </c>
      <c r="E8" s="1">
        <v>420444</v>
      </c>
      <c r="F8" s="18">
        <v>800000</v>
      </c>
      <c r="G8" s="8">
        <f xml:space="preserve"> E8/F8</f>
        <v>0.52555499999999999</v>
      </c>
      <c r="H8" s="7">
        <f>E8-C8*2</f>
        <v>344253.52380952379</v>
      </c>
      <c r="I8" s="9">
        <f>E8-F8</f>
        <v>-379556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41</v>
      </c>
      <c r="AF8" s="7"/>
    </row>
    <row r="9" spans="1:32" s="13" customFormat="1" ht="30" customHeight="1">
      <c r="A9" s="24" t="s">
        <v>10</v>
      </c>
      <c r="B9" s="2">
        <f>SUM(B7:B8)</f>
        <v>35112</v>
      </c>
      <c r="C9" s="2">
        <f>SUM(C7:C8)</f>
        <v>95238.095238095237</v>
      </c>
      <c r="D9" s="4">
        <f>B9/C9</f>
        <v>0.368676</v>
      </c>
      <c r="E9" s="2">
        <f>SUM(E7:E8)</f>
        <v>1413211</v>
      </c>
      <c r="F9" s="19">
        <f>SUM(F7:F8)</f>
        <v>2000000</v>
      </c>
      <c r="G9" s="11">
        <f xml:space="preserve"> E9/F9</f>
        <v>0.7066055</v>
      </c>
      <c r="H9" s="10">
        <f>E9-C9*2</f>
        <v>1222734.8095238095</v>
      </c>
      <c r="I9" s="12">
        <f>E9-F9</f>
        <v>-586789</v>
      </c>
      <c r="J9" s="30">
        <f>SUM(J7:J8)</f>
        <v>3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5099</v>
      </c>
      <c r="C10" s="1">
        <f>F10/21</f>
        <v>9523.8095238095229</v>
      </c>
      <c r="D10" s="3">
        <f>B10/C10</f>
        <v>0.53539500000000007</v>
      </c>
      <c r="E10" s="1">
        <v>103689</v>
      </c>
      <c r="F10" s="18">
        <v>200000</v>
      </c>
      <c r="G10" s="8">
        <f xml:space="preserve"> E10/F10</f>
        <v>0.51844500000000004</v>
      </c>
      <c r="H10" s="7">
        <f>E10-C10*2</f>
        <v>84641.380952380947</v>
      </c>
      <c r="I10" s="9">
        <f>E10-F10</f>
        <v>-96311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19125</v>
      </c>
      <c r="C11" s="1">
        <f>F11/21</f>
        <v>47619.047619047618</v>
      </c>
      <c r="D11" s="3">
        <f>B11/C11</f>
        <v>0.40162500000000001</v>
      </c>
      <c r="E11" s="1">
        <v>598281</v>
      </c>
      <c r="F11" s="18">
        <v>1000000</v>
      </c>
      <c r="G11" s="8">
        <f xml:space="preserve"> E11/F11</f>
        <v>0.59828099999999995</v>
      </c>
      <c r="H11" s="7">
        <f>E11-C11*2</f>
        <v>503042.90476190473</v>
      </c>
      <c r="I11" s="9">
        <f>E11-F11</f>
        <v>-401719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42</v>
      </c>
      <c r="AF11" s="7"/>
    </row>
    <row r="12" spans="1:32" ht="30" customHeight="1">
      <c r="A12" s="23" t="s">
        <v>8</v>
      </c>
      <c r="B12" s="1">
        <v>16036</v>
      </c>
      <c r="C12" s="1">
        <f>F12/21</f>
        <v>14285.714285714286</v>
      </c>
      <c r="D12" s="3">
        <f>B12/C12</f>
        <v>1.12252</v>
      </c>
      <c r="E12" s="1">
        <v>148441</v>
      </c>
      <c r="F12" s="18">
        <v>300000</v>
      </c>
      <c r="G12" s="8">
        <f xml:space="preserve"> E12/F12</f>
        <v>0.49480333333333332</v>
      </c>
      <c r="H12" s="7">
        <f>E12-C12*2</f>
        <v>119869.57142857142</v>
      </c>
      <c r="I12" s="9">
        <f>E12-F12</f>
        <v>-151559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40260</v>
      </c>
      <c r="C13" s="2">
        <f>SUM(C10:C12)</f>
        <v>71428.571428571435</v>
      </c>
      <c r="D13" s="4">
        <f>B13/C13</f>
        <v>0.56363999999999992</v>
      </c>
      <c r="E13" s="2">
        <f>SUM(E10:E12)</f>
        <v>850411</v>
      </c>
      <c r="F13" s="19">
        <f>SUM(F10:F12)</f>
        <v>1500000</v>
      </c>
      <c r="G13" s="11">
        <f xml:space="preserve"> E13/F13</f>
        <v>0.56694066666666665</v>
      </c>
      <c r="H13" s="10">
        <f>E13-C13*2</f>
        <v>707553.85714285716</v>
      </c>
      <c r="I13" s="12">
        <f>E13-F13</f>
        <v>-649589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43</v>
      </c>
      <c r="B14" s="15">
        <f>B6+B9+B13</f>
        <v>203882</v>
      </c>
      <c r="C14" s="15">
        <f>C6+C9+C13</f>
        <v>328571.42857142858</v>
      </c>
      <c r="D14" s="16">
        <f>B14/C14</f>
        <v>0.6205104347826087</v>
      </c>
      <c r="E14" s="15">
        <f>E6+E9+E13</f>
        <v>3778746</v>
      </c>
      <c r="F14" s="20">
        <f>F6+F9+F13</f>
        <v>6900000</v>
      </c>
      <c r="G14" s="16">
        <f>E14/F14</f>
        <v>0.54764434782608695</v>
      </c>
      <c r="H14" s="14"/>
      <c r="I14" s="14"/>
      <c r="J14" s="31">
        <f>J6+J9+J13</f>
        <v>10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6</v>
      </c>
      <c r="AA14" s="31">
        <f>AA6+AA9+AA13</f>
        <v>5</v>
      </c>
      <c r="AB14" s="31">
        <f>AB6+AB9+AB13</f>
        <v>7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2020-11-18T09:44:51Z</dcterms:created>
  <dcterms:modified xsi:type="dcterms:W3CDTF">2020-11-18T09:44:51Z</dcterms:modified>
</cp:coreProperties>
</file>