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D12"/>
  <c r="C12"/>
  <c r="H12" s="1"/>
  <c r="I12"/>
  <c r="C11"/>
  <c r="H11" s="1"/>
  <c r="I11"/>
  <c r="D10"/>
  <c r="C10"/>
  <c r="I10"/>
  <c r="H10"/>
  <c r="AC9"/>
  <c r="AB9"/>
  <c r="AA9"/>
  <c r="Z9"/>
  <c r="X9"/>
  <c r="K9"/>
  <c r="J9"/>
  <c r="D8"/>
  <c r="C8"/>
  <c r="H8" s="1"/>
  <c r="I8"/>
  <c r="C7"/>
  <c r="H7" s="1"/>
  <c r="I7"/>
  <c r="AC6"/>
  <c r="AC14" s="1"/>
  <c r="AB6"/>
  <c r="AA6"/>
  <c r="AA14" s="1"/>
  <c r="Z6"/>
  <c r="X6"/>
  <c r="X14" s="1"/>
  <c r="K6"/>
  <c r="J6"/>
  <c r="J14" s="1"/>
  <c r="D5"/>
  <c r="C5"/>
  <c r="H5" s="1"/>
  <c r="I5"/>
  <c r="C3"/>
  <c r="H3" s="1"/>
  <c r="I3"/>
  <c r="C4"/>
  <c r="D4" s="1"/>
  <c r="I4"/>
  <c r="H4"/>
  <c r="F13"/>
  <c r="G13" s="1"/>
  <c r="E13"/>
  <c r="I13" s="1"/>
  <c r="B13"/>
  <c r="G9"/>
  <c r="F9"/>
  <c r="E9"/>
  <c r="B9"/>
  <c r="F6"/>
  <c r="E6"/>
  <c r="I6" s="1"/>
  <c r="B6"/>
  <c r="G12"/>
  <c r="G11"/>
  <c r="G10"/>
  <c r="G8"/>
  <c r="G7"/>
  <c r="G5"/>
  <c r="G3"/>
  <c r="G4"/>
  <c r="D13" l="1"/>
  <c r="C13"/>
  <c r="H13" s="1"/>
  <c r="K14"/>
  <c r="AB14"/>
  <c r="D11"/>
  <c r="F14"/>
  <c r="Z14"/>
  <c r="H9"/>
  <c r="D9"/>
  <c r="C9"/>
  <c r="I9"/>
  <c r="D7"/>
  <c r="D6"/>
  <c r="B14"/>
  <c r="G6"/>
  <c r="C6"/>
  <c r="E14"/>
  <c r="G14" s="1"/>
  <c r="D3"/>
  <c r="H6" l="1"/>
  <c r="C14"/>
  <c r="D14" s="1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<sst xmlns="http://schemas.openxmlformats.org/spreadsheetml/2006/main" count="51" uniqueCount="47">
  <si>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</si>
  <si>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</si>
  <si>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</si>
  <si>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</si>
  <si>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</si>
  <si>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</si>
  <si>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</si>
  <si>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</si>
  <si>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</si>
  <si>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</si>
  <si>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</si>
  <si>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</si>
  <si>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</si>
  <si>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</si>
  <si>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</si>
  <si>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</si>
  <si>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</si>
  <si>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</si>
  <si>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</si>
  <si>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</si>
  <si>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</si>
  <si>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</si>
  <si>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</si>
  <si>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</si>
  <si>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</si>
  <si>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</si>
  <si>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</si>
  <si>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</si>
  <si>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</si>
  <si>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</si>
  <si>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</si>
  <si>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</si>
  <si>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</si>
  <si>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</si>
  <si>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</si>
  <si>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</si>
  <si>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</si>
  <si>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</si>
  <si>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</si>
  <si>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</si>
  <si>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</si>
  <si>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</si>
  <si>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</si>
  <si>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</si>
  <si>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今日績效</t>
    <phoneticPr fontId="1" type="noConversion"/>
  </si>
  <si>
    <t>製表日期:</t>
  </si>
  <si>
    <t>2020/11/01-2020/11/24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</si>
</sst>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44159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44</v>
      </c>
      <c r="C2" s="21" t="s">
        <v>12</v>
      </c>
      <c r="D2" s="21" t="s">
        <v>13</v>
      </c>
      <c r="E2" s="21" t="s">
        <v>14</v>
      </c>
      <c r="F2" s="21" t="s">
        <v>15</v>
      </c>
      <c r="G2" s="21" t="s">
        <v>16</v>
      </c>
      <c r="H2" s="21" t="s">
        <v>17</v>
      </c>
      <c r="I2" s="33" t="s">
        <v>18</v>
      </c>
      <c r="J2" s="21" t="s">
        <v>19</v>
      </c>
      <c r="K2" s="21" t="s">
        <v>20</v>
      </c>
      <c r="L2" s="21" t="s">
        <v>21</v>
      </c>
      <c r="M2" s="21" t="s">
        <v>22</v>
      </c>
      <c r="N2" s="21" t="s">
        <v>23</v>
      </c>
      <c r="O2" s="21" t="s">
        <v>24</v>
      </c>
      <c r="P2" s="21" t="s">
        <v>25</v>
      </c>
      <c r="Q2" s="21" t="s">
        <v>26</v>
      </c>
      <c r="R2" s="21" t="s">
        <v>27</v>
      </c>
      <c r="S2" s="21" t="s">
        <v>28</v>
      </c>
      <c r="T2" s="21" t="s">
        <v>29</v>
      </c>
      <c r="U2" s="21" t="s">
        <v>30</v>
      </c>
      <c r="V2" s="21" t="s">
        <v>22</v>
      </c>
      <c r="W2" s="21" t="s">
        <v>31</v>
      </c>
      <c r="X2" s="21" t="s">
        <v>32</v>
      </c>
      <c r="Y2" s="21" t="s">
        <v>33</v>
      </c>
      <c r="Z2" s="21" t="s">
        <v>34</v>
      </c>
      <c r="AA2" s="21" t="s">
        <v>35</v>
      </c>
      <c r="AB2" s="21" t="s">
        <v>36</v>
      </c>
      <c r="AC2" s="21">
        <v>6055</v>
      </c>
      <c r="AD2" s="21" t="s">
        <v>37</v>
      </c>
      <c r="AE2" s="21" t="s">
        <v>38</v>
      </c>
      <c r="AF2" s="21" t="s">
        <v>39</v>
      </c>
    </row>
    <row r="3" spans="1:32" ht="30" customHeight="1">
      <c r="A3" s="23" t="s">
        <v>5</v>
      </c>
      <c r="B3" s="1">
        <v>17314</v>
      </c>
      <c r="C3" s="1">
        <f>F3/21</f>
        <v>66666.666666666672</v>
      </c>
      <c r="D3" s="3">
        <f>B3/C3</f>
        <v>0.25971</v>
      </c>
      <c r="E3" s="1">
        <v>999696</v>
      </c>
      <c r="F3" s="18">
        <v>1400000</v>
      </c>
      <c r="G3" s="8">
        <f xml:space="preserve"> E3/F3</f>
        <v>0.71406857142857139</v>
      </c>
      <c r="H3" s="7">
        <f>E3-C3*2</f>
        <v>866362.66666666663</v>
      </c>
      <c r="I3" s="9">
        <f>E3-F3</f>
        <v>-400304</v>
      </c>
      <c r="J3" s="29">
        <v>3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2</v>
      </c>
      <c r="AA3" s="29">
        <v>0</v>
      </c>
      <c r="AB3" s="29">
        <v>0</v>
      </c>
      <c r="AC3" s="29">
        <v>0</v>
      </c>
      <c r="AD3" s="7"/>
      <c r="AE3" s="7" t="s">
        <v>41</v>
      </c>
      <c r="AF3" s="7"/>
    </row>
    <row r="4" spans="1:32" ht="30" customHeight="1">
      <c r="A4" s="23" t="s">
        <v>2</v>
      </c>
      <c r="B4" s="1">
        <v>13354</v>
      </c>
      <c r="C4" s="1">
        <f>F4/21</f>
        <v>57142.857142857145</v>
      </c>
      <c r="D4" s="3">
        <f>B4/C4</f>
        <v>0.23369499999999999</v>
      </c>
      <c r="E4" s="1">
        <v>738662</v>
      </c>
      <c r="F4" s="18">
        <v>1200000</v>
      </c>
      <c r="G4" s="8">
        <f xml:space="preserve"> E4/F4</f>
        <v>0.61555166666666672</v>
      </c>
      <c r="H4" s="7">
        <f>E4-C4*2</f>
        <v>624376.28571428568</v>
      </c>
      <c r="I4" s="9">
        <f>E4-F4</f>
        <v>-461338</v>
      </c>
      <c r="J4" s="29">
        <v>4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1</v>
      </c>
      <c r="AA4" s="29">
        <v>8</v>
      </c>
      <c r="AB4" s="29">
        <v>2</v>
      </c>
      <c r="AC4" s="29">
        <v>1</v>
      </c>
      <c r="AD4" s="7"/>
      <c r="AE4" s="7" t="s">
        <v>40</v>
      </c>
      <c r="AF4" s="7"/>
    </row>
    <row r="5" spans="1:32" ht="30" customHeight="1">
      <c r="A5" s="23" t="s">
        <v>6</v>
      </c>
      <c r="B5" s="1">
        <v>27733</v>
      </c>
      <c r="C5" s="1">
        <f>F5/21</f>
        <v>38095.238095238092</v>
      </c>
      <c r="D5" s="3">
        <f>B5/C5</f>
        <v>0.72799125000000009</v>
      </c>
      <c r="E5" s="1">
        <v>527345</v>
      </c>
      <c r="F5" s="18">
        <v>800000</v>
      </c>
      <c r="G5" s="8">
        <f xml:space="preserve"> E5/F5</f>
        <v>0.65918125000000005</v>
      </c>
      <c r="H5" s="7">
        <f>E5-C5*2</f>
        <v>451154.52380952379</v>
      </c>
      <c r="I5" s="9">
        <f>E5-F5</f>
        <v>-272655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5</v>
      </c>
      <c r="AC5" s="29">
        <v>0</v>
      </c>
      <c r="AD5" s="7"/>
      <c r="AE5" s="7" t="s">
        <v>40</v>
      </c>
      <c r="AF5" s="7"/>
    </row>
    <row r="6" spans="1:32" s="13" customFormat="1" ht="30" customHeight="1">
      <c r="A6" s="24" t="s">
        <v>11</v>
      </c>
      <c r="B6" s="2">
        <f>SUM(B3:B5)</f>
        <v>58401</v>
      </c>
      <c r="C6" s="2">
        <f>SUM(C3:C5)</f>
        <v>161904.76190476189</v>
      </c>
      <c r="D6" s="4">
        <f>B6/C6</f>
        <v>0.36071205882352941</v>
      </c>
      <c r="E6" s="2">
        <f>SUM(E3:E5)</f>
        <v>2265703</v>
      </c>
      <c r="F6" s="19">
        <f>SUM(F3:F5)</f>
        <v>3400000</v>
      </c>
      <c r="G6" s="11">
        <f xml:space="preserve"> E6/F6</f>
        <v>0.66638323529411769</v>
      </c>
      <c r="H6" s="10">
        <f>E6-C6*2</f>
        <v>1941893.4761904762</v>
      </c>
      <c r="I6" s="12">
        <f>E6-F6</f>
        <v>-1134297</v>
      </c>
      <c r="J6" s="30">
        <f>SUM(J3:J5)</f>
        <v>9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3</v>
      </c>
      <c r="AA6" s="30">
        <f>SUM(AA3:AA5)</f>
        <v>8</v>
      </c>
      <c r="AB6" s="30">
        <f>SUM(AB3:AB5)</f>
        <v>7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>
        <v>16554</v>
      </c>
      <c r="C7" s="1">
        <f>F7/21</f>
        <v>57142.857142857145</v>
      </c>
      <c r="D7" s="3">
        <f>B7/C7</f>
        <v>0.28969499999999998</v>
      </c>
      <c r="E7" s="1">
        <v>1091386</v>
      </c>
      <c r="F7" s="18">
        <v>1200000</v>
      </c>
      <c r="G7" s="8">
        <f xml:space="preserve"> E7/F7</f>
        <v>0.90948833333333334</v>
      </c>
      <c r="H7" s="7">
        <f>E7-C7*2</f>
        <v>977100.28571428568</v>
      </c>
      <c r="I7" s="9">
        <f>E7-F7</f>
        <v>-108614</v>
      </c>
      <c r="J7" s="29">
        <v>3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2</v>
      </c>
      <c r="AA7" s="29">
        <v>0</v>
      </c>
      <c r="AB7" s="29">
        <v>3</v>
      </c>
      <c r="AC7" s="29">
        <v>3</v>
      </c>
      <c r="AD7" s="7"/>
      <c r="AE7" s="7" t="s">
        <v>41</v>
      </c>
      <c r="AF7" s="7"/>
    </row>
    <row r="8" spans="1:32" ht="30" customHeight="1">
      <c r="A8" s="23" t="s">
        <v>7</v>
      </c>
      <c r="B8" s="1">
        <v>11954</v>
      </c>
      <c r="C8" s="1">
        <f>F8/21</f>
        <v>38095.238095238092</v>
      </c>
      <c r="D8" s="3">
        <f>B8/C8</f>
        <v>0.31379250000000003</v>
      </c>
      <c r="E8" s="1">
        <v>475248</v>
      </c>
      <c r="F8" s="18">
        <v>800000</v>
      </c>
      <c r="G8" s="8">
        <f xml:space="preserve"> E8/F8</f>
        <v>0.59406000000000003</v>
      </c>
      <c r="H8" s="7">
        <f>E8-C8*2</f>
        <v>399057.52380952379</v>
      </c>
      <c r="I8" s="9">
        <f>E8-F8</f>
        <v>-324752</v>
      </c>
      <c r="J8" s="29">
        <v>2</v>
      </c>
      <c r="K8" s="29">
        <v>3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2</v>
      </c>
      <c r="AA8" s="29">
        <v>0</v>
      </c>
      <c r="AB8" s="29">
        <v>1</v>
      </c>
      <c r="AC8" s="29">
        <v>0</v>
      </c>
      <c r="AD8" s="7"/>
      <c r="AE8" s="7" t="s">
        <v>41</v>
      </c>
      <c r="AF8" s="7"/>
    </row>
    <row r="9" spans="1:32" s="13" customFormat="1" ht="30" customHeight="1">
      <c r="A9" s="24" t="s">
        <v>10</v>
      </c>
      <c r="B9" s="2">
        <f>SUM(B7:B8)</f>
        <v>28508</v>
      </c>
      <c r="C9" s="2">
        <f>SUM(C7:C8)</f>
        <v>95238.095238095237</v>
      </c>
      <c r="D9" s="4">
        <f>B9/C9</f>
        <v>0.29933399999999999</v>
      </c>
      <c r="E9" s="2">
        <f>SUM(E7:E8)</f>
        <v>1566634</v>
      </c>
      <c r="F9" s="19">
        <f>SUM(F7:F8)</f>
        <v>2000000</v>
      </c>
      <c r="G9" s="11">
        <f xml:space="preserve"> E9/F9</f>
        <v>0.78331700000000004</v>
      </c>
      <c r="H9" s="10">
        <f>E9-C9*2</f>
        <v>1376157.8095238095</v>
      </c>
      <c r="I9" s="12">
        <f>E9-F9</f>
        <v>-433366</v>
      </c>
      <c r="J9" s="30">
        <f>SUM(J7:J8)</f>
        <v>5</v>
      </c>
      <c r="K9" s="30">
        <f>SUM(K7:K8)</f>
        <v>3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4</v>
      </c>
      <c r="AA9" s="30">
        <f>SUM(AA7:AA8)</f>
        <v>0</v>
      </c>
      <c r="AB9" s="30">
        <f>SUM(AB7:AB8)</f>
        <v>4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>
        <v>35774</v>
      </c>
      <c r="C10" s="1">
        <f>F10/21</f>
        <v>9523.8095238095229</v>
      </c>
      <c r="D10" s="3">
        <f>B10/C10</f>
        <v>3.7562700000000002</v>
      </c>
      <c r="E10" s="1">
        <v>157415</v>
      </c>
      <c r="F10" s="18">
        <v>200000</v>
      </c>
      <c r="G10" s="8">
        <f xml:space="preserve"> E10/F10</f>
        <v>0.78707499999999997</v>
      </c>
      <c r="H10" s="7">
        <f>E10-C10*2</f>
        <v>138367.38095238095</v>
      </c>
      <c r="I10" s="9">
        <f>E10-F10</f>
        <v>-42585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>
        <v>19948</v>
      </c>
      <c r="C11" s="1">
        <f>F11/21</f>
        <v>47619.047619047618</v>
      </c>
      <c r="D11" s="3">
        <f>B11/C11</f>
        <v>0.418908</v>
      </c>
      <c r="E11" s="1">
        <v>755422</v>
      </c>
      <c r="F11" s="18">
        <v>1000000</v>
      </c>
      <c r="G11" s="8">
        <f xml:space="preserve"> E11/F11</f>
        <v>0.75542200000000004</v>
      </c>
      <c r="H11" s="7">
        <f>E11-C11*2</f>
        <v>660183.90476190473</v>
      </c>
      <c r="I11" s="9">
        <f>E11-F11</f>
        <v>-244578</v>
      </c>
      <c r="J11" s="29">
        <v>2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42</v>
      </c>
      <c r="AF11" s="7"/>
    </row>
    <row r="12" spans="1:32" ht="30" customHeight="1">
      <c r="A12" s="23" t="s">
        <v>8</v>
      </c>
      <c r="B12" s="1">
        <v>3616</v>
      </c>
      <c r="C12" s="1">
        <f>F12/21</f>
        <v>14285.714285714286</v>
      </c>
      <c r="D12" s="3">
        <f>B12/C12</f>
        <v>0.25312000000000001</v>
      </c>
      <c r="E12" s="1">
        <v>164747</v>
      </c>
      <c r="F12" s="18">
        <v>300000</v>
      </c>
      <c r="G12" s="8">
        <f xml:space="preserve"> E12/F12</f>
        <v>0.54915666666666663</v>
      </c>
      <c r="H12" s="7">
        <f>E12-C12*2</f>
        <v>136175.57142857142</v>
      </c>
      <c r="I12" s="9">
        <f>E12-F12</f>
        <v>-135253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59338</v>
      </c>
      <c r="C13" s="2">
        <f>SUM(C10:C12)</f>
        <v>71428.571428571435</v>
      </c>
      <c r="D13" s="4">
        <f>B13/C13</f>
        <v>0.83073199999999991</v>
      </c>
      <c r="E13" s="2">
        <f>SUM(E10:E12)</f>
        <v>1077584</v>
      </c>
      <c r="F13" s="19">
        <f>SUM(F10:F12)</f>
        <v>1500000</v>
      </c>
      <c r="G13" s="11">
        <f xml:space="preserve"> E13/F13</f>
        <v>0.71838933333333332</v>
      </c>
      <c r="H13" s="10">
        <f>E13-C13*2</f>
        <v>934726.85714285716</v>
      </c>
      <c r="I13" s="12">
        <f>E13-F13</f>
        <v>-422416</v>
      </c>
      <c r="J13" s="30">
        <f>SUM(J10:J12)</f>
        <v>2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43</v>
      </c>
      <c r="B14" s="15">
        <f>B6+B9+B13</f>
        <v>146247</v>
      </c>
      <c r="C14" s="15">
        <f>C6+C9+C13</f>
        <v>328571.42857142858</v>
      </c>
      <c r="D14" s="16">
        <f>B14/C14</f>
        <v>0.4450995652173913</v>
      </c>
      <c r="E14" s="15">
        <f>E6+E9+E13</f>
        <v>4909921</v>
      </c>
      <c r="F14" s="20">
        <f>F6+F9+F13</f>
        <v>6900000</v>
      </c>
      <c r="G14" s="16">
        <f>E14/F14</f>
        <v>0.71158275362318846</v>
      </c>
      <c r="H14" s="14"/>
      <c r="I14" s="14"/>
      <c r="J14" s="31">
        <f>J6+J9+J13</f>
        <v>16</v>
      </c>
      <c r="K14" s="31">
        <f>K6+K9+K13</f>
        <v>3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9</v>
      </c>
      <c r="AA14" s="31">
        <f>AA6+AA9+AA13</f>
        <v>8</v>
      </c>
      <c r="AB14" s="31">
        <f>AB6+AB9+AB13</f>
        <v>14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2020-11-24T09:40:44Z</dcterms:created>
  <dcterms:modified xsi:type="dcterms:W3CDTF">2020-11-24T09:40:45Z</dcterms:modified>
</cp:coreProperties>
</file>