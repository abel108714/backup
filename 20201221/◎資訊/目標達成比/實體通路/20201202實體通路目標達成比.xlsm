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2" i="2"/>
  <c r="AB12"/>
  <c r="AA12"/>
  <c r="Z12"/>
  <c r="X12"/>
  <c r="K12"/>
  <c r="J12"/>
  <c r="C11"/>
  <c r="H11" s="1"/>
  <c r="I11"/>
  <c r="D10"/>
  <c r="C10"/>
  <c r="H10" s="1"/>
  <c r="I10"/>
  <c r="AC9"/>
  <c r="AB9"/>
  <c r="AA9"/>
  <c r="Z9"/>
  <c r="X9"/>
  <c r="K9"/>
  <c r="J9"/>
  <c r="D8"/>
  <c r="C8"/>
  <c r="I8"/>
  <c r="H8"/>
  <c r="D7"/>
  <c r="C7"/>
  <c r="H7" s="1"/>
  <c r="I7"/>
  <c r="AC6"/>
  <c r="AB6"/>
  <c r="AA6"/>
  <c r="Z6"/>
  <c r="X6"/>
  <c r="K6"/>
  <c r="J6"/>
  <c r="C6"/>
  <c r="H6" s="1"/>
  <c r="C5"/>
  <c r="H5" s="1"/>
  <c r="I5"/>
  <c r="D3"/>
  <c r="C3"/>
  <c r="H3" s="1"/>
  <c r="I3"/>
  <c r="D4"/>
  <c r="C4"/>
  <c r="H4" s="1"/>
  <c r="I4"/>
  <c r="F12"/>
  <c r="E12"/>
  <c r="I12" s="1"/>
  <c r="B12"/>
  <c r="F9"/>
  <c r="E9"/>
  <c r="B9"/>
  <c r="F6"/>
  <c r="G6" s="1"/>
  <c r="E6"/>
  <c r="B6"/>
  <c r="G11"/>
  <c r="G10"/>
  <c r="G8"/>
  <c r="G7"/>
  <c r="G5"/>
  <c r="G3"/>
  <c r="G4"/>
  <c r="H12" l="1"/>
  <c r="C12"/>
  <c r="D12" s="1"/>
  <c r="G12"/>
  <c r="X13"/>
  <c r="AC13"/>
  <c r="D11"/>
  <c r="I9"/>
  <c r="K13"/>
  <c r="AB13"/>
  <c r="B13"/>
  <c r="J13"/>
  <c r="AA13"/>
  <c r="C9"/>
  <c r="H9" s="1"/>
  <c r="E13"/>
  <c r="G9"/>
  <c r="Z13"/>
  <c r="G13"/>
  <c r="I6"/>
  <c r="F13"/>
  <c r="D5"/>
  <c r="D6"/>
  <c r="D9" l="1"/>
  <c r="C13"/>
  <c r="D13" s="1"/>
</calcChain>
</file>

<file path=xl/sharedStrings.xml><?xml version="1.0" encoding="utf-8"?>
<sst xmlns="http://schemas.openxmlformats.org/spreadsheetml/2006/main" count="50" uniqueCount="46">
  <si>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</si>
  <si>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</si>
  <si>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</si>
  <si>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</si>
  <si>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</si>
  <si>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</si>
  <si>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</si>
  <si>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</si>
  <si>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南區</t>
  </si>
  <si>
    <t>中區</t>
  </si>
  <si>
    <t>連鎖+北區</t>
  </si>
  <si>
    <t>今日績效</t>
  </si>
  <si>
    <t>每日目標</t>
  </si>
  <si>
    <t>當日達成比</t>
  </si>
  <si>
    <t>12月銷貨淨額</t>
  </si>
  <si>
    <t>12月目標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</si>
  <si>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</si>
  <si>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</si>
  <si>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</si>
  <si>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</si>
  <si>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</si>
  <si>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</si>
  <si>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</si>
  <si>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</si>
  <si>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</si>
  <si>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</si>
  <si>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</si>
  <si>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</si>
  <si>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</si>
  <si>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</si>
  <si>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</si>
  <si>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</si>
  <si>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</si>
  <si>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</si>
  <si>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</si>
  <si>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</si>
  <si>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</si>
  <si>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</si>
  <si>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</si>
  <si>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</si>
  <si>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</si>
  <si>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</si>
  <si>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</si>
  <si>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</si>
  <si>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</si>
  <si>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2020/12/01-2020/12/02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</si>
</sst>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3"/>
  <sheetViews>
    <sheetView tabSelected="1" topLeftCell="A8" zoomScale="85" zoomScaleNormal="85" workbookViewId="0">
      <pane xSplit="1" topLeftCell="B1" activePane="topRight" state="frozenSplit"/>
      <selection pane="topRight" activeCell="A15" sqref="A15:XFD15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44</v>
      </c>
      <c r="B1" s="27">
        <v>44167</v>
      </c>
      <c r="F1" s="6" t="s">
        <v>45</v>
      </c>
      <c r="G1" s="6"/>
    </row>
    <row r="2" spans="1:32" s="34" customFormat="1" ht="30" customHeight="1">
      <c r="A2" s="32" t="s">
        <v>0</v>
      </c>
      <c r="B2" s="21" t="s">
        <v>11</v>
      </c>
      <c r="C2" s="21" t="s">
        <v>12</v>
      </c>
      <c r="D2" s="21" t="s">
        <v>13</v>
      </c>
      <c r="E2" s="21" t="s">
        <v>14</v>
      </c>
      <c r="F2" s="21" t="s">
        <v>15</v>
      </c>
      <c r="G2" s="21" t="s">
        <v>16</v>
      </c>
      <c r="H2" s="21" t="s">
        <v>17</v>
      </c>
      <c r="I2" s="33" t="s">
        <v>18</v>
      </c>
      <c r="J2" s="21" t="s">
        <v>19</v>
      </c>
      <c r="K2" s="21" t="s">
        <v>20</v>
      </c>
      <c r="L2" s="21" t="s">
        <v>21</v>
      </c>
      <c r="M2" s="21" t="s">
        <v>22</v>
      </c>
      <c r="N2" s="21" t="s">
        <v>23</v>
      </c>
      <c r="O2" s="21" t="s">
        <v>24</v>
      </c>
      <c r="P2" s="21" t="s">
        <v>25</v>
      </c>
      <c r="Q2" s="21" t="s">
        <v>26</v>
      </c>
      <c r="R2" s="21" t="s">
        <v>27</v>
      </c>
      <c r="S2" s="21" t="s">
        <v>28</v>
      </c>
      <c r="T2" s="21" t="s">
        <v>29</v>
      </c>
      <c r="U2" s="21" t="s">
        <v>30</v>
      </c>
      <c r="V2" s="21" t="s">
        <v>22</v>
      </c>
      <c r="W2" s="21" t="s">
        <v>31</v>
      </c>
      <c r="X2" s="21" t="s">
        <v>32</v>
      </c>
      <c r="Y2" s="21" t="s">
        <v>33</v>
      </c>
      <c r="Z2" s="21" t="s">
        <v>34</v>
      </c>
      <c r="AA2" s="21" t="s">
        <v>35</v>
      </c>
      <c r="AB2" s="21" t="s">
        <v>36</v>
      </c>
      <c r="AC2" s="21">
        <v>6055</v>
      </c>
      <c r="AD2" s="21" t="s">
        <v>37</v>
      </c>
      <c r="AE2" s="21" t="s">
        <v>38</v>
      </c>
      <c r="AF2" s="21" t="s">
        <v>39</v>
      </c>
    </row>
    <row r="3" spans="1:32" ht="30" customHeight="1">
      <c r="A3" s="23" t="s">
        <v>5</v>
      </c>
      <c r="B3" s="1">
        <v>2240</v>
      </c>
      <c r="C3" s="1">
        <f>F3/23</f>
        <v>65217.391304347824</v>
      </c>
      <c r="D3" s="3">
        <f>B3/C3</f>
        <v>3.4346666666666664E-2</v>
      </c>
      <c r="E3" s="1">
        <v>24428</v>
      </c>
      <c r="F3" s="18">
        <v>1500000</v>
      </c>
      <c r="G3" s="8">
        <f xml:space="preserve"> E3/F3</f>
        <v>1.6285333333333332E-2</v>
      </c>
      <c r="H3" s="7">
        <f>E3-C3*2</f>
        <v>-106006.78260869565</v>
      </c>
      <c r="I3" s="9">
        <f>E3-F3</f>
        <v>-1475572</v>
      </c>
      <c r="J3" s="29">
        <v>1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41</v>
      </c>
      <c r="AF3" s="7"/>
    </row>
    <row r="4" spans="1:32" ht="30" customHeight="1">
      <c r="A4" s="23" t="s">
        <v>2</v>
      </c>
      <c r="B4" s="1">
        <v>61022</v>
      </c>
      <c r="C4" s="1">
        <f>F4/23</f>
        <v>56521.739130434784</v>
      </c>
      <c r="D4" s="3">
        <f>B4/C4</f>
        <v>1.07962</v>
      </c>
      <c r="E4" s="1">
        <v>186417</v>
      </c>
      <c r="F4" s="18">
        <v>1300000</v>
      </c>
      <c r="G4" s="8">
        <f xml:space="preserve"> E4/F4</f>
        <v>0.14339769230769231</v>
      </c>
      <c r="H4" s="7">
        <f>E4-C4*2</f>
        <v>73373.521739130432</v>
      </c>
      <c r="I4" s="9">
        <f>E4-F4</f>
        <v>-1113583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0</v>
      </c>
      <c r="AB4" s="29">
        <v>6</v>
      </c>
      <c r="AC4" s="29">
        <v>0</v>
      </c>
      <c r="AD4" s="7"/>
      <c r="AE4" s="7" t="s">
        <v>40</v>
      </c>
      <c r="AF4" s="7"/>
    </row>
    <row r="5" spans="1:32" ht="30" customHeight="1">
      <c r="A5" s="23" t="s">
        <v>6</v>
      </c>
      <c r="B5" s="1">
        <v>39961</v>
      </c>
      <c r="C5" s="1">
        <f>F5/23</f>
        <v>39130.434782608696</v>
      </c>
      <c r="D5" s="3">
        <f>B5/C5</f>
        <v>1.0212255555555556</v>
      </c>
      <c r="E5" s="1">
        <v>104198</v>
      </c>
      <c r="F5" s="18">
        <v>900000</v>
      </c>
      <c r="G5" s="8">
        <f xml:space="preserve"> E5/F5</f>
        <v>0.11577555555555556</v>
      </c>
      <c r="H5" s="7">
        <f>E5-C5*2</f>
        <v>25937.130434782608</v>
      </c>
      <c r="I5" s="9">
        <f>E5-F5</f>
        <v>-795802</v>
      </c>
      <c r="J5" s="29">
        <v>1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40</v>
      </c>
      <c r="AF5" s="7"/>
    </row>
    <row r="6" spans="1:32" s="13" customFormat="1" ht="30" customHeight="1">
      <c r="A6" s="24" t="s">
        <v>10</v>
      </c>
      <c r="B6" s="2">
        <f>SUM(B3:B5)</f>
        <v>103223</v>
      </c>
      <c r="C6" s="2">
        <f>SUM(C3:C5)</f>
        <v>160869.5652173913</v>
      </c>
      <c r="D6" s="4">
        <f>B6/C6</f>
        <v>0.64165648648648654</v>
      </c>
      <c r="E6" s="2">
        <f>SUM(E3:E5)</f>
        <v>315043</v>
      </c>
      <c r="F6" s="19">
        <f>SUM(F3:F5)</f>
        <v>3700000</v>
      </c>
      <c r="G6" s="11">
        <f xml:space="preserve"> E6/F6</f>
        <v>8.5146756756756758E-2</v>
      </c>
      <c r="H6" s="10">
        <f>E6-C6*2</f>
        <v>-6696.1304347825935</v>
      </c>
      <c r="I6" s="12">
        <f>E6-F6</f>
        <v>-3384957</v>
      </c>
      <c r="J6" s="30">
        <f>SUM(J3:J5)</f>
        <v>3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0</v>
      </c>
      <c r="AB6" s="30">
        <f>SUM(AB3:AB5)</f>
        <v>6</v>
      </c>
      <c r="AC6" s="30">
        <f>SUM(AC3:AC5)</f>
        <v>0</v>
      </c>
      <c r="AD6" s="10"/>
      <c r="AE6" s="10"/>
      <c r="AF6" s="10"/>
    </row>
    <row r="7" spans="1:32" ht="30" customHeight="1">
      <c r="A7" s="23" t="s">
        <v>4</v>
      </c>
      <c r="B7" s="1">
        <v>34832</v>
      </c>
      <c r="C7" s="1">
        <f>F7/23</f>
        <v>56521.739130434784</v>
      </c>
      <c r="D7" s="3">
        <f>B7/C7</f>
        <v>0.61625846153846153</v>
      </c>
      <c r="E7" s="1">
        <v>141003</v>
      </c>
      <c r="F7" s="18">
        <v>1300000</v>
      </c>
      <c r="G7" s="8">
        <f xml:space="preserve"> E7/F7</f>
        <v>0.10846384615384616</v>
      </c>
      <c r="H7" s="7">
        <f>E7-C7*2</f>
        <v>27959.521739130432</v>
      </c>
      <c r="I7" s="9">
        <f>E7-F7</f>
        <v>-1158997</v>
      </c>
      <c r="J7" s="29">
        <v>0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0</v>
      </c>
      <c r="AA7" s="29">
        <v>0</v>
      </c>
      <c r="AB7" s="29">
        <v>0</v>
      </c>
      <c r="AC7" s="29">
        <v>0</v>
      </c>
      <c r="AD7" s="7"/>
      <c r="AE7" s="7" t="s">
        <v>41</v>
      </c>
      <c r="AF7" s="7"/>
    </row>
    <row r="8" spans="1:32" ht="30" customHeight="1">
      <c r="A8" s="23" t="s">
        <v>7</v>
      </c>
      <c r="B8" s="1">
        <v>47639</v>
      </c>
      <c r="C8" s="1">
        <f>F8/23</f>
        <v>39130.434782608696</v>
      </c>
      <c r="D8" s="3">
        <f>B8/C8</f>
        <v>1.2174411111111112</v>
      </c>
      <c r="E8" s="1">
        <v>126466</v>
      </c>
      <c r="F8" s="18">
        <v>900000</v>
      </c>
      <c r="G8" s="8">
        <f xml:space="preserve"> E8/F8</f>
        <v>0.14051777777777777</v>
      </c>
      <c r="H8" s="7">
        <f>E8-C8*2</f>
        <v>48205.130434782608</v>
      </c>
      <c r="I8" s="9">
        <f>E8-F8</f>
        <v>-773534</v>
      </c>
      <c r="J8" s="29">
        <v>0</v>
      </c>
      <c r="K8" s="29">
        <v>1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3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41</v>
      </c>
      <c r="AF8" s="7"/>
    </row>
    <row r="9" spans="1:32" s="13" customFormat="1" ht="30" customHeight="1">
      <c r="A9" s="24" t="s">
        <v>9</v>
      </c>
      <c r="B9" s="2">
        <f>SUM(B7:B8)</f>
        <v>82471</v>
      </c>
      <c r="C9" s="2">
        <f>SUM(C7:C8)</f>
        <v>95652.173913043487</v>
      </c>
      <c r="D9" s="4">
        <f>B9/C9</f>
        <v>0.86219681818181815</v>
      </c>
      <c r="E9" s="2">
        <f>SUM(E7:E8)</f>
        <v>267469</v>
      </c>
      <c r="F9" s="19">
        <f>SUM(F7:F8)</f>
        <v>2200000</v>
      </c>
      <c r="G9" s="11">
        <f xml:space="preserve"> E9/F9</f>
        <v>0.12157681818181819</v>
      </c>
      <c r="H9" s="10">
        <f>E9-C9*2</f>
        <v>76164.652173913026</v>
      </c>
      <c r="I9" s="12">
        <f>E9-F9</f>
        <v>-1932531</v>
      </c>
      <c r="J9" s="30">
        <f>SUM(J7:J8)</f>
        <v>0</v>
      </c>
      <c r="K9" s="30">
        <f>SUM(K7:K8)</f>
        <v>1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3</v>
      </c>
      <c r="Y9" s="30"/>
      <c r="Z9" s="30">
        <f>SUM(Z7:Z8)</f>
        <v>0</v>
      </c>
      <c r="AA9" s="30">
        <f>SUM(AA7:AA8)</f>
        <v>0</v>
      </c>
      <c r="AB9" s="30">
        <f>SUM(AB7:AB8)</f>
        <v>0</v>
      </c>
      <c r="AC9" s="30">
        <f>SUM(AC7:AC8)</f>
        <v>0</v>
      </c>
      <c r="AD9" s="10"/>
      <c r="AE9" s="10"/>
      <c r="AF9" s="10"/>
    </row>
    <row r="10" spans="1:32" ht="30" customHeight="1">
      <c r="A10" s="23" t="s">
        <v>1</v>
      </c>
      <c r="B10" s="1">
        <v>11886</v>
      </c>
      <c r="C10" s="1">
        <f>F10/23</f>
        <v>21739.130434782608</v>
      </c>
      <c r="D10" s="3">
        <f>B10/C10</f>
        <v>0.54675600000000002</v>
      </c>
      <c r="E10" s="1">
        <v>50713</v>
      </c>
      <c r="F10" s="18">
        <v>500000</v>
      </c>
      <c r="G10" s="8">
        <f xml:space="preserve"> E10/F10</f>
        <v>0.101426</v>
      </c>
      <c r="H10" s="7">
        <f>E10-C10*2</f>
        <v>7234.7391304347839</v>
      </c>
      <c r="I10" s="9">
        <f>E10-F10</f>
        <v>-449287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63248</v>
      </c>
      <c r="C11" s="1">
        <f>F11/23</f>
        <v>52173.913043478264</v>
      </c>
      <c r="D11" s="3">
        <f>B11/C11</f>
        <v>1.2122533333333332</v>
      </c>
      <c r="E11" s="1">
        <v>125956</v>
      </c>
      <c r="F11" s="18">
        <v>1200000</v>
      </c>
      <c r="G11" s="8">
        <f xml:space="preserve"> E11/F11</f>
        <v>0.10496333333333334</v>
      </c>
      <c r="H11" s="7">
        <f>E11-C11*2</f>
        <v>21608.173913043473</v>
      </c>
      <c r="I11" s="9">
        <f>E11-F11</f>
        <v>-1074044</v>
      </c>
      <c r="J11" s="29">
        <v>1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0</v>
      </c>
      <c r="AA11" s="29">
        <v>0</v>
      </c>
      <c r="AB11" s="29">
        <v>1</v>
      </c>
      <c r="AC11" s="29">
        <v>0</v>
      </c>
      <c r="AD11" s="7"/>
      <c r="AE11" s="7" t="s">
        <v>42</v>
      </c>
      <c r="AF11" s="7"/>
    </row>
    <row r="12" spans="1:32" s="13" customFormat="1" ht="30" customHeight="1">
      <c r="A12" s="24" t="s">
        <v>8</v>
      </c>
      <c r="B12" s="2">
        <f>SUM(B10:B11)</f>
        <v>75134</v>
      </c>
      <c r="C12" s="2">
        <f>SUM(C10:C11)</f>
        <v>73913.043478260865</v>
      </c>
      <c r="D12" s="4">
        <f>B12/C12</f>
        <v>1.0165188235294118</v>
      </c>
      <c r="E12" s="2">
        <f>SUM(E10:E11)</f>
        <v>176669</v>
      </c>
      <c r="F12" s="19">
        <f>SUM(F10:F11)</f>
        <v>1700000</v>
      </c>
      <c r="G12" s="11">
        <f xml:space="preserve"> E12/F12</f>
        <v>0.10392294117647059</v>
      </c>
      <c r="H12" s="10">
        <f>E12-C12*2</f>
        <v>28842.913043478271</v>
      </c>
      <c r="I12" s="12">
        <f>E12-F12</f>
        <v>-1523331</v>
      </c>
      <c r="J12" s="30">
        <f>SUM(J10:J11)</f>
        <v>1</v>
      </c>
      <c r="K12" s="30">
        <f>SUM(K10:K11)</f>
        <v>0</v>
      </c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>
        <f>SUM(X10:X11)</f>
        <v>0</v>
      </c>
      <c r="Y12" s="30"/>
      <c r="Z12" s="30">
        <f>SUM(Z10:Z11)</f>
        <v>0</v>
      </c>
      <c r="AA12" s="30">
        <f>SUM(AA10:AA11)</f>
        <v>0</v>
      </c>
      <c r="AB12" s="30">
        <f>SUM(AB10:AB11)</f>
        <v>1</v>
      </c>
      <c r="AC12" s="30">
        <f>SUM(AC10:AC11)</f>
        <v>0</v>
      </c>
      <c r="AD12" s="10"/>
      <c r="AE12" s="10"/>
      <c r="AF12" s="10"/>
    </row>
    <row r="13" spans="1:32" s="17" customFormat="1" ht="30" customHeight="1">
      <c r="A13" s="25" t="s">
        <v>43</v>
      </c>
      <c r="B13" s="15">
        <f>B6+B9+B12</f>
        <v>260828</v>
      </c>
      <c r="C13" s="15">
        <f>C6+C9+C12</f>
        <v>330434.78260869568</v>
      </c>
      <c r="D13" s="16">
        <f>B13/C13</f>
        <v>0.78934789473684208</v>
      </c>
      <c r="E13" s="15">
        <f>E6+E9+E12</f>
        <v>759181</v>
      </c>
      <c r="F13" s="20">
        <f>F6+F9+F12</f>
        <v>7600000</v>
      </c>
      <c r="G13" s="16">
        <f>E13/F13</f>
        <v>9.989223684210527E-2</v>
      </c>
      <c r="H13" s="14"/>
      <c r="I13" s="14"/>
      <c r="J13" s="31">
        <f>J6+J9+J12</f>
        <v>4</v>
      </c>
      <c r="K13" s="31">
        <f>K6+K9+K12</f>
        <v>1</v>
      </c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>
        <f>X6+X9+X12</f>
        <v>3</v>
      </c>
      <c r="Y13" s="31"/>
      <c r="Z13" s="31">
        <f>Z6+Z9+Z12</f>
        <v>0</v>
      </c>
      <c r="AA13" s="31">
        <f>AA6+AA9+AA12</f>
        <v>0</v>
      </c>
      <c r="AB13" s="31">
        <f>AB6+AB9+AB12</f>
        <v>7</v>
      </c>
      <c r="AC13" s="31">
        <f>AC6+AC9+AC12</f>
        <v>0</v>
      </c>
      <c r="AD13" s="14"/>
      <c r="AE13" s="14"/>
      <c r="AF13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2020-12-02T09:36:04Z</dcterms:created>
  <dcterms:modified xsi:type="dcterms:W3CDTF">2020-12-02T09:36:04Z</dcterms:modified>
</cp:coreProperties>
</file>