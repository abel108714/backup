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K14"/>
  <c r="J14"/>
  <c r="C12"/>
  <c r="D12" s="1"/>
  <c r="I12"/>
  <c r="C11"/>
  <c r="H11" s="1"/>
  <c r="I11"/>
  <c r="C13"/>
  <c r="H13" s="1"/>
  <c r="I13"/>
  <c r="AC10"/>
  <c r="AC15" s="1"/>
  <c r="AB10"/>
  <c r="AB15" s="1"/>
  <c r="AA10"/>
  <c r="Z10"/>
  <c r="Z15" s="1"/>
  <c r="X10"/>
  <c r="X15" s="1"/>
  <c r="K10"/>
  <c r="K15" s="1"/>
  <c r="J10"/>
  <c r="I10"/>
  <c r="D9"/>
  <c r="C9"/>
  <c r="H9" s="1"/>
  <c r="I9"/>
  <c r="D8"/>
  <c r="C8"/>
  <c r="H8" s="1"/>
  <c r="I8"/>
  <c r="C7"/>
  <c r="H7" s="1"/>
  <c r="I7"/>
  <c r="AC6"/>
  <c r="AB6"/>
  <c r="AA6"/>
  <c r="AA15" s="1"/>
  <c r="Z6"/>
  <c r="X6"/>
  <c r="K6"/>
  <c r="J6"/>
  <c r="J15" s="1"/>
  <c r="C5"/>
  <c r="H5" s="1"/>
  <c r="I5"/>
  <c r="D3"/>
  <c r="C3"/>
  <c r="I3"/>
  <c r="H3"/>
  <c r="D4"/>
  <c r="C4"/>
  <c r="H4" s="1"/>
  <c r="I4"/>
  <c r="F14"/>
  <c r="G14" s="1"/>
  <c r="E14"/>
  <c r="I14" s="1"/>
  <c r="B14"/>
  <c r="F10"/>
  <c r="G10" s="1"/>
  <c r="E10"/>
  <c r="B10"/>
  <c r="F6"/>
  <c r="E6"/>
  <c r="E15" s="1"/>
  <c r="B6"/>
  <c r="B15" s="1"/>
  <c r="G12"/>
  <c r="G11"/>
  <c r="G13"/>
  <c r="G9"/>
  <c r="G8"/>
  <c r="G7"/>
  <c r="G5"/>
  <c r="G3"/>
  <c r="G4"/>
  <c r="C14" l="1"/>
  <c r="D13"/>
  <c r="H12"/>
  <c r="D11"/>
  <c r="F15"/>
  <c r="G15" s="1"/>
  <c r="D7"/>
  <c r="C10"/>
  <c r="H10" s="1"/>
  <c r="C6"/>
  <c r="I6"/>
  <c r="G6"/>
  <c r="D5"/>
  <c r="H14" l="1"/>
  <c r="D14"/>
  <c r="D10"/>
  <c r="H6"/>
  <c r="C15"/>
  <c r="D15" s="1"/>
  <c r="D6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<sst xmlns="http://schemas.openxmlformats.org/spreadsheetml/2006/main" count="52" uniqueCount="48">
  <si>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</si>
  <si>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</si>
  <si>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</si>
  <si>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</si>
  <si>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</si>
  <si>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</si>
  <si>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</si>
  <si>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</si>
  <si>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</si>
  <si>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</si>
  <si>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</si>
  <si>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</si>
  <si>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</si>
  <si>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</si>
  <si>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</si>
  <si>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</si>
  <si>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</si>
  <si>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</si>
  <si>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</si>
  <si>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</si>
  <si>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</si>
  <si>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</si>
  <si>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</si>
  <si>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</si>
  <si>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</si>
  <si>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</si>
  <si>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</si>
  <si>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</si>
  <si>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</si>
  <si>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</si>
  <si>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</si>
  <si>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</si>
  <si>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</si>
  <si>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</si>
  <si>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</si>
  <si>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</si>
  <si>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</si>
  <si>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</si>
  <si>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</si>
  <si>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</si>
  <si>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</si>
  <si>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</si>
  <si>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</si>
  <si>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</si>
  <si>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</si>
  <si>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</si>
  <si>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</si>
  <si>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2020/10/01-2020/10/27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</si>
</sst>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46</v>
      </c>
      <c r="B1" s="27">
        <v>44131</v>
      </c>
      <c r="F1" s="6" t="s">
        <v>47</v>
      </c>
      <c r="G1" s="6"/>
    </row>
    <row r="2" spans="1:32" s="34" customFormat="1" ht="30" customHeight="1">
      <c r="A2" s="32" t="s">
        <v>0</v>
      </c>
      <c r="B2" s="21" t="s">
        <v>13</v>
      </c>
      <c r="C2" s="21" t="s">
        <v>14</v>
      </c>
      <c r="D2" s="21" t="s">
        <v>15</v>
      </c>
      <c r="E2" s="21" t="s">
        <v>16</v>
      </c>
      <c r="F2" s="21" t="s">
        <v>17</v>
      </c>
      <c r="G2" s="21" t="s">
        <v>18</v>
      </c>
      <c r="H2" s="21" t="s">
        <v>19</v>
      </c>
      <c r="I2" s="33" t="s">
        <v>20</v>
      </c>
      <c r="J2" s="21" t="s">
        <v>21</v>
      </c>
      <c r="K2" s="21" t="s">
        <v>22</v>
      </c>
      <c r="L2" s="21" t="s">
        <v>23</v>
      </c>
      <c r="M2" s="21" t="s">
        <v>24</v>
      </c>
      <c r="N2" s="21" t="s">
        <v>25</v>
      </c>
      <c r="O2" s="21" t="s">
        <v>26</v>
      </c>
      <c r="P2" s="21" t="s">
        <v>27</v>
      </c>
      <c r="Q2" s="21" t="s">
        <v>28</v>
      </c>
      <c r="R2" s="21" t="s">
        <v>29</v>
      </c>
      <c r="S2" s="21" t="s">
        <v>30</v>
      </c>
      <c r="T2" s="21" t="s">
        <v>31</v>
      </c>
      <c r="U2" s="21" t="s">
        <v>32</v>
      </c>
      <c r="V2" s="21" t="s">
        <v>24</v>
      </c>
      <c r="W2" s="21" t="s">
        <v>33</v>
      </c>
      <c r="X2" s="21" t="s">
        <v>34</v>
      </c>
      <c r="Y2" s="21" t="s">
        <v>35</v>
      </c>
      <c r="Z2" s="21" t="s">
        <v>36</v>
      </c>
      <c r="AA2" s="21" t="s">
        <v>37</v>
      </c>
      <c r="AB2" s="21" t="s">
        <v>38</v>
      </c>
      <c r="AC2" s="21">
        <v>6055</v>
      </c>
      <c r="AD2" s="21" t="s">
        <v>39</v>
      </c>
      <c r="AE2" s="21" t="s">
        <v>40</v>
      </c>
      <c r="AF2" s="21" t="s">
        <v>41</v>
      </c>
    </row>
    <row r="3" spans="1:32" ht="30" customHeight="1">
      <c r="A3" s="23" t="s">
        <v>5</v>
      </c>
      <c r="B3" s="1">
        <v>24503</v>
      </c>
      <c r="C3" s="1">
        <f>F3/19</f>
        <v>73684.210526315786</v>
      </c>
      <c r="D3" s="3">
        <f>B3/C3</f>
        <v>0.3325407142857143</v>
      </c>
      <c r="E3" s="1">
        <v>855296</v>
      </c>
      <c r="F3" s="18">
        <v>1400000</v>
      </c>
      <c r="G3" s="8">
        <f xml:space="preserve"> E3/F3</f>
        <v>0.61092571428571429</v>
      </c>
      <c r="H3" s="7">
        <f>E3-C3*2</f>
        <v>707927.57894736843</v>
      </c>
      <c r="I3" s="9">
        <f>E3-F3</f>
        <v>-544704</v>
      </c>
      <c r="J3" s="29">
        <v>10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43</v>
      </c>
      <c r="AF3" s="7"/>
    </row>
    <row r="4" spans="1:32" ht="30" customHeight="1">
      <c r="A4" s="23" t="s">
        <v>2</v>
      </c>
      <c r="B4" s="1">
        <v>6545</v>
      </c>
      <c r="C4" s="1">
        <f>F4/19</f>
        <v>63157.894736842107</v>
      </c>
      <c r="D4" s="3">
        <f>B4/C4</f>
        <v>0.10362916666666666</v>
      </c>
      <c r="E4" s="1">
        <v>480660</v>
      </c>
      <c r="F4" s="18">
        <v>1200000</v>
      </c>
      <c r="G4" s="8">
        <f xml:space="preserve"> E4/F4</f>
        <v>0.40055000000000002</v>
      </c>
      <c r="H4" s="7">
        <f>E4-C4*2</f>
        <v>354344.21052631579</v>
      </c>
      <c r="I4" s="9">
        <f>E4-F4</f>
        <v>-719340</v>
      </c>
      <c r="J4" s="29">
        <v>0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6</v>
      </c>
      <c r="AB4" s="29">
        <v>0</v>
      </c>
      <c r="AC4" s="29">
        <v>0</v>
      </c>
      <c r="AD4" s="7"/>
      <c r="AE4" s="7" t="s">
        <v>42</v>
      </c>
      <c r="AF4" s="7"/>
    </row>
    <row r="5" spans="1:32" ht="30" customHeight="1">
      <c r="A5" s="23" t="s">
        <v>6</v>
      </c>
      <c r="B5" s="1">
        <v>57838</v>
      </c>
      <c r="C5" s="1">
        <f>F5/19</f>
        <v>52631.57894736842</v>
      </c>
      <c r="D5" s="3">
        <f>B5/C5</f>
        <v>1.098922</v>
      </c>
      <c r="E5" s="1">
        <v>849074</v>
      </c>
      <c r="F5" s="18">
        <v>1000000</v>
      </c>
      <c r="G5" s="8">
        <f xml:space="preserve"> E5/F5</f>
        <v>0.849074</v>
      </c>
      <c r="H5" s="7">
        <f>E5-C5*2</f>
        <v>743810.84210526315</v>
      </c>
      <c r="I5" s="9">
        <f>E5-F5</f>
        <v>-150926</v>
      </c>
      <c r="J5" s="29">
        <v>7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10</v>
      </c>
      <c r="AC5" s="29">
        <v>1</v>
      </c>
      <c r="AD5" s="7"/>
      <c r="AE5" s="7" t="s">
        <v>42</v>
      </c>
      <c r="AF5" s="7"/>
    </row>
    <row r="6" spans="1:32" s="13" customFormat="1" ht="30" customHeight="1">
      <c r="A6" s="24" t="s">
        <v>12</v>
      </c>
      <c r="B6" s="2">
        <f>SUM(B3:B5)</f>
        <v>88886</v>
      </c>
      <c r="C6" s="2">
        <f>SUM(C3:C5)</f>
        <v>189473.68421052632</v>
      </c>
      <c r="D6" s="4">
        <f>B6/C6</f>
        <v>0.46912055555555554</v>
      </c>
      <c r="E6" s="2">
        <f>SUM(E3:E5)</f>
        <v>2185030</v>
      </c>
      <c r="F6" s="19">
        <f>SUM(F3:F5)</f>
        <v>3600000</v>
      </c>
      <c r="G6" s="11">
        <f xml:space="preserve"> E6/F6</f>
        <v>0.60695277777777779</v>
      </c>
      <c r="H6" s="10">
        <f>E6-C6*2</f>
        <v>1806082.6315789474</v>
      </c>
      <c r="I6" s="12">
        <f>E6-F6</f>
        <v>-1414970</v>
      </c>
      <c r="J6" s="30">
        <f>SUM(J3:J5)</f>
        <v>17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2</v>
      </c>
      <c r="AA6" s="30">
        <f>SUM(AA3:AA5)</f>
        <v>7</v>
      </c>
      <c r="AB6" s="30">
        <f>SUM(AB3:AB5)</f>
        <v>10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46612</v>
      </c>
      <c r="C7" s="1">
        <f>F7/19</f>
        <v>63157.894736842107</v>
      </c>
      <c r="D7" s="3">
        <f>B7/C7</f>
        <v>0.73802333333333336</v>
      </c>
      <c r="E7" s="1">
        <v>1031901</v>
      </c>
      <c r="F7" s="18">
        <v>1200000</v>
      </c>
      <c r="G7" s="8">
        <f xml:space="preserve"> E7/F7</f>
        <v>0.8599175</v>
      </c>
      <c r="H7" s="7">
        <f>E7-C7*2</f>
        <v>905585.21052631573</v>
      </c>
      <c r="I7" s="9">
        <f>E7-F7</f>
        <v>-168099</v>
      </c>
      <c r="J7" s="29">
        <v>6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1</v>
      </c>
      <c r="AB7" s="29">
        <v>2</v>
      </c>
      <c r="AC7" s="29">
        <v>2</v>
      </c>
      <c r="AD7" s="7"/>
      <c r="AE7" s="7" t="s">
        <v>43</v>
      </c>
      <c r="AF7" s="7"/>
    </row>
    <row r="8" spans="1:32" ht="30" customHeight="1">
      <c r="A8" s="23" t="s">
        <v>7</v>
      </c>
      <c r="B8" s="1">
        <v>14110</v>
      </c>
      <c r="C8" s="1">
        <f>F8/19</f>
        <v>42105.26315789474</v>
      </c>
      <c r="D8" s="3">
        <f>B8/C8</f>
        <v>0.33511249999999998</v>
      </c>
      <c r="E8" s="1">
        <v>486414</v>
      </c>
      <c r="F8" s="18">
        <v>800000</v>
      </c>
      <c r="G8" s="8">
        <f xml:space="preserve"> E8/F8</f>
        <v>0.60801749999999999</v>
      </c>
      <c r="H8" s="7">
        <f>E8-C8*2</f>
        <v>402203.4736842105</v>
      </c>
      <c r="I8" s="9">
        <f>E8-F8</f>
        <v>-313586</v>
      </c>
      <c r="J8" s="29">
        <v>0</v>
      </c>
      <c r="K8" s="29">
        <v>4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9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43</v>
      </c>
      <c r="AF8" s="7"/>
    </row>
    <row r="9" spans="1:32" ht="30" customHeight="1">
      <c r="A9" s="23" t="s">
        <v>9</v>
      </c>
      <c r="B9" s="1">
        <v>0</v>
      </c>
      <c r="C9" s="1">
        <f>F9/19</f>
        <v>15789.473684210527</v>
      </c>
      <c r="D9" s="3">
        <f>B9/C9</f>
        <v>0</v>
      </c>
      <c r="E9" s="1">
        <v>2795</v>
      </c>
      <c r="F9" s="18">
        <v>300000</v>
      </c>
      <c r="G9" s="8">
        <f xml:space="preserve"> E9/F9</f>
        <v>9.3166666666666658E-3</v>
      </c>
      <c r="H9" s="7">
        <f>E9-C9*2</f>
        <v>-28783.947368421053</v>
      </c>
      <c r="I9" s="9">
        <f>E9-F9</f>
        <v>-297205</v>
      </c>
      <c r="J9" s="29">
        <v>0</v>
      </c>
      <c r="K9" s="29">
        <v>0</v>
      </c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>
        <v>0</v>
      </c>
      <c r="Y9" s="29"/>
      <c r="Z9" s="29">
        <v>0</v>
      </c>
      <c r="AA9" s="29">
        <v>0</v>
      </c>
      <c r="AB9" s="29">
        <v>0</v>
      </c>
      <c r="AC9" s="29">
        <v>0</v>
      </c>
      <c r="AD9" s="7"/>
      <c r="AE9" s="7"/>
      <c r="AF9" s="7"/>
    </row>
    <row r="10" spans="1:32" s="13" customFormat="1" ht="30" customHeight="1">
      <c r="A10" s="24" t="s">
        <v>11</v>
      </c>
      <c r="B10" s="2">
        <f>SUM(B7:B9)</f>
        <v>60722</v>
      </c>
      <c r="C10" s="2">
        <f>SUM(C7:C9)</f>
        <v>121052.63157894739</v>
      </c>
      <c r="D10" s="4">
        <f>B10/C10</f>
        <v>0.50161652173913041</v>
      </c>
      <c r="E10" s="2">
        <f>SUM(E7:E9)</f>
        <v>1521110</v>
      </c>
      <c r="F10" s="19">
        <f>SUM(F7:F9)</f>
        <v>2300000</v>
      </c>
      <c r="G10" s="11">
        <f xml:space="preserve"> E10/F10</f>
        <v>0.66135217391304346</v>
      </c>
      <c r="H10" s="10">
        <f>E10-C10*2</f>
        <v>1279004.7368421052</v>
      </c>
      <c r="I10" s="12">
        <f>E10-F10</f>
        <v>-778890</v>
      </c>
      <c r="J10" s="30">
        <f>SUM(J7:J9)</f>
        <v>6</v>
      </c>
      <c r="K10" s="30">
        <f>SUM(K7:K9)</f>
        <v>4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>
        <f>SUM(X7:X9)</f>
        <v>9</v>
      </c>
      <c r="Y10" s="30"/>
      <c r="Z10" s="30">
        <f>SUM(Z7:Z9)</f>
        <v>2</v>
      </c>
      <c r="AA10" s="30">
        <f>SUM(AA7:AA9)</f>
        <v>1</v>
      </c>
      <c r="AB10" s="30">
        <f>SUM(AB7:AB9)</f>
        <v>2</v>
      </c>
      <c r="AC10" s="30">
        <f>SUM(AC7:AC9)</f>
        <v>2</v>
      </c>
      <c r="AD10" s="10"/>
      <c r="AE10" s="10"/>
      <c r="AF10" s="10"/>
    </row>
    <row r="11" spans="1:32" ht="30" customHeight="1">
      <c r="A11" s="23" t="s">
        <v>3</v>
      </c>
      <c r="B11" s="1">
        <v>82282</v>
      </c>
      <c r="C11" s="1">
        <f>F11/19</f>
        <v>52631.57894736842</v>
      </c>
      <c r="D11" s="3">
        <f>B11/C11</f>
        <v>1.563358</v>
      </c>
      <c r="E11" s="1">
        <v>748035</v>
      </c>
      <c r="F11" s="18">
        <v>1000000</v>
      </c>
      <c r="G11" s="8">
        <f xml:space="preserve"> E11/F11</f>
        <v>0.74803500000000001</v>
      </c>
      <c r="H11" s="7">
        <f>E11-C11*2</f>
        <v>642771.84210526315</v>
      </c>
      <c r="I11" s="9">
        <f>E11-F11</f>
        <v>-251965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0</v>
      </c>
      <c r="AA11" s="29">
        <v>0</v>
      </c>
      <c r="AB11" s="29">
        <v>3</v>
      </c>
      <c r="AC11" s="29">
        <v>0</v>
      </c>
      <c r="AD11" s="7"/>
      <c r="AE11" s="7" t="s">
        <v>44</v>
      </c>
      <c r="AF11" s="7"/>
    </row>
    <row r="12" spans="1:32" ht="30" customHeight="1">
      <c r="A12" s="23" t="s">
        <v>8</v>
      </c>
      <c r="B12" s="1">
        <v>2947</v>
      </c>
      <c r="C12" s="1">
        <f>F12/19</f>
        <v>15789.473684210527</v>
      </c>
      <c r="D12" s="3">
        <f>B12/C12</f>
        <v>0.18664333333333333</v>
      </c>
      <c r="E12" s="1">
        <v>179356</v>
      </c>
      <c r="F12" s="18">
        <v>300000</v>
      </c>
      <c r="G12" s="8">
        <f xml:space="preserve"> E12/F12</f>
        <v>0.59785333333333335</v>
      </c>
      <c r="H12" s="7">
        <f>E12-C12*2</f>
        <v>147777.05263157893</v>
      </c>
      <c r="I12" s="9">
        <f>E12-F12</f>
        <v>-120644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3</v>
      </c>
      <c r="AC12" s="29">
        <v>0</v>
      </c>
      <c r="AD12" s="7"/>
      <c r="AE12" s="7"/>
      <c r="AF12" s="7"/>
    </row>
    <row r="13" spans="1:32" ht="30" customHeight="1">
      <c r="A13" s="23" t="s">
        <v>1</v>
      </c>
      <c r="B13" s="1">
        <v>0</v>
      </c>
      <c r="C13" s="1">
        <f>F13/19</f>
        <v>10526.315789473685</v>
      </c>
      <c r="D13" s="3">
        <f>B13/C13</f>
        <v>0</v>
      </c>
      <c r="E13" s="1">
        <v>131181</v>
      </c>
      <c r="F13" s="18">
        <v>200000</v>
      </c>
      <c r="G13" s="8">
        <f xml:space="preserve"> E13/F13</f>
        <v>0.65590499999999996</v>
      </c>
      <c r="H13" s="7">
        <f>E13-C13*2</f>
        <v>110128.36842105263</v>
      </c>
      <c r="I13" s="9">
        <f>E13-F13</f>
        <v>-68819</v>
      </c>
      <c r="J13" s="29">
        <v>0</v>
      </c>
      <c r="K13" s="29">
        <v>0</v>
      </c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>
        <v>0</v>
      </c>
      <c r="Y13" s="29"/>
      <c r="Z13" s="29">
        <v>0</v>
      </c>
      <c r="AA13" s="29">
        <v>0</v>
      </c>
      <c r="AB13" s="29">
        <v>0</v>
      </c>
      <c r="AC13" s="29">
        <v>0</v>
      </c>
      <c r="AD13" s="7"/>
      <c r="AE13" s="7"/>
      <c r="AF13" s="7"/>
    </row>
    <row r="14" spans="1:32" s="13" customFormat="1" ht="30" customHeight="1">
      <c r="A14" s="24" t="s">
        <v>10</v>
      </c>
      <c r="B14" s="2">
        <f>SUM(B11:B13)</f>
        <v>85229</v>
      </c>
      <c r="C14" s="2">
        <f>SUM(C11:C13)</f>
        <v>78947.368421052626</v>
      </c>
      <c r="D14" s="4">
        <f>B14/C14</f>
        <v>1.0795673333333333</v>
      </c>
      <c r="E14" s="2">
        <f>SUM(E11:E13)</f>
        <v>1058572</v>
      </c>
      <c r="F14" s="19">
        <f>SUM(F11:F13)</f>
        <v>1500000</v>
      </c>
      <c r="G14" s="11">
        <f xml:space="preserve"> E14/F14</f>
        <v>0.70571466666666671</v>
      </c>
      <c r="H14" s="10">
        <f>E14-C14*2</f>
        <v>900677.26315789472</v>
      </c>
      <c r="I14" s="12">
        <f>E14-F14</f>
        <v>-441428</v>
      </c>
      <c r="J14" s="30">
        <f>SUM(J11:J13)</f>
        <v>2</v>
      </c>
      <c r="K14" s="30">
        <f>SUM(K11:K13)</f>
        <v>0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>
        <f>SUM(X11:X13)</f>
        <v>0</v>
      </c>
      <c r="Y14" s="30"/>
      <c r="Z14" s="30">
        <f>SUM(Z11:Z13)</f>
        <v>0</v>
      </c>
      <c r="AA14" s="30">
        <f>SUM(AA11:AA13)</f>
        <v>0</v>
      </c>
      <c r="AB14" s="30">
        <f>SUM(AB11:AB13)</f>
        <v>6</v>
      </c>
      <c r="AC14" s="30">
        <f>SUM(AC11:AC13)</f>
        <v>0</v>
      </c>
      <c r="AD14" s="10"/>
      <c r="AE14" s="10"/>
      <c r="AF14" s="10"/>
    </row>
    <row r="15" spans="1:32" s="17" customFormat="1" ht="30" customHeight="1">
      <c r="A15" s="25" t="s">
        <v>45</v>
      </c>
      <c r="B15" s="15">
        <f>B6+B10+B14</f>
        <v>234837</v>
      </c>
      <c r="C15" s="15">
        <f>C6+C10+C14</f>
        <v>389473.68421052635</v>
      </c>
      <c r="D15" s="16">
        <f>B15/C15</f>
        <v>0.60295986486486486</v>
      </c>
      <c r="E15" s="15">
        <f>E6+E10+E14</f>
        <v>4764712</v>
      </c>
      <c r="F15" s="20">
        <f>F6+F10+F14</f>
        <v>7400000</v>
      </c>
      <c r="G15" s="16">
        <f>E15/F15</f>
        <v>0.64388000000000001</v>
      </c>
      <c r="H15" s="14"/>
      <c r="I15" s="14"/>
      <c r="J15" s="31">
        <f>J6+J10+J14</f>
        <v>25</v>
      </c>
      <c r="K15" s="31">
        <f>K6+K10+K14</f>
        <v>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>
        <f>X6+X10+X14</f>
        <v>9</v>
      </c>
      <c r="Y15" s="31"/>
      <c r="Z15" s="31">
        <f>Z6+Z10+Z14</f>
        <v>4</v>
      </c>
      <c r="AA15" s="31">
        <f>AA6+AA10+AA14</f>
        <v>8</v>
      </c>
      <c r="AB15" s="31">
        <f>AB6+AB10+AB14</f>
        <v>18</v>
      </c>
      <c r="AC15" s="31">
        <f>AC6+AC10+AC14</f>
        <v>3</v>
      </c>
      <c r="AD15" s="14"/>
      <c r="AE15" s="14"/>
      <c r="AF15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2020-10-27T09:44:48Z</dcterms:created>
  <dcterms:modified xsi:type="dcterms:W3CDTF">2020-10-27T09:44:48Z</dcterms:modified>
</cp:coreProperties>
</file>