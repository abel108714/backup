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X15" s="1"/>
  <c r="J14"/>
  <c r="J15" s="1"/>
  <c r="D12"/>
  <c r="C12"/>
  <c r="H12" s="1"/>
  <c r="I12"/>
  <c r="D11"/>
  <c r="C11"/>
  <c r="H11" s="1"/>
  <c r="I11"/>
  <c r="D13"/>
  <c r="C13"/>
  <c r="H13" s="1"/>
  <c r="I13"/>
  <c r="AC10"/>
  <c r="AC15" s="1"/>
  <c r="AB10"/>
  <c r="AB15" s="1"/>
  <c r="AA10"/>
  <c r="Z10"/>
  <c r="Z15" s="1"/>
  <c r="X10"/>
  <c r="J10"/>
  <c r="I10"/>
  <c r="D9"/>
  <c r="C9"/>
  <c r="I9"/>
  <c r="H9"/>
  <c r="D8"/>
  <c r="C8"/>
  <c r="I8"/>
  <c r="H8"/>
  <c r="D7"/>
  <c r="C7"/>
  <c r="H7" s="1"/>
  <c r="I7"/>
  <c r="AC6"/>
  <c r="AB6"/>
  <c r="AA6"/>
  <c r="AA15" s="1"/>
  <c r="Z6"/>
  <c r="X6"/>
  <c r="J6"/>
  <c r="C6"/>
  <c r="H6" s="1"/>
  <c r="D5"/>
  <c r="C5"/>
  <c r="H5" s="1"/>
  <c r="I5"/>
  <c r="D3"/>
  <c r="C3"/>
  <c r="H3" s="1"/>
  <c r="I3"/>
  <c r="D4"/>
  <c r="C4"/>
  <c r="H4" s="1"/>
  <c r="I4"/>
  <c r="F14"/>
  <c r="E14"/>
  <c r="B14"/>
  <c r="G10"/>
  <c r="F10"/>
  <c r="E10"/>
  <c r="B10"/>
  <c r="B15" s="1"/>
  <c r="F6"/>
  <c r="F15" s="1"/>
  <c r="E6"/>
  <c r="G6" s="1"/>
  <c r="B6"/>
  <c r="D15" s="1"/>
  <c r="G12"/>
  <c r="G11"/>
  <c r="G13"/>
  <c r="G9"/>
  <c r="G8"/>
  <c r="G7"/>
  <c r="G5"/>
  <c r="G3"/>
  <c r="G4"/>
  <c r="H14" l="1"/>
  <c r="I14"/>
  <c r="G14"/>
  <c r="G15" s="1"/>
  <c r="C14"/>
  <c r="D14" s="1"/>
  <c r="C10"/>
  <c r="I6"/>
  <c r="D6"/>
  <c r="E15"/>
  <c r="H10" l="1"/>
  <c r="D10"/>
  <c r="C15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<sst xmlns="http://schemas.openxmlformats.org/spreadsheetml/2006/main" count="52" uniqueCount="47">
  <si>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</si>
  <si>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</si>
  <si>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</si>
  <si>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</si>
  <si>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</si>
  <si>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</si>
  <si>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</si>
  <si>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</si>
  <si>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</si>
  <si>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</si>
  <si>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</si>
  <si>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</si>
  <si>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</si>
  <si>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</si>
  <si>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</si>
  <si>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</si>
  <si>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</si>
  <si>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</si>
  <si>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</si>
  <si>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</si>
  <si>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</si>
  <si>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</si>
  <si>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</si>
  <si>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</si>
  <si>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</si>
  <si>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</si>
  <si>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</si>
  <si>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</si>
  <si>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</si>
  <si>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</si>
  <si>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</si>
  <si>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</si>
  <si>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</si>
  <si>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</si>
  <si>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</si>
  <si>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</si>
  <si>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</si>
  <si>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</si>
  <si>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</si>
  <si>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</si>
  <si>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</si>
  <si>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</si>
  <si>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</si>
  <si>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</si>
  <si>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</si>
  <si>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</si>
  <si>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2020/10/01-2020/10/16</t>
  </si>
</sst>
</file>

<file path=xl/styles.xml><?xml version="1.0" encoding="utf-8"?>
<styleSheet xmlns="http://schemas.openxmlformats.org/spreadsheetml/2006/main">
  <numFmts count="3">
    <numFmt numFmtId="176" formatCode="##,##0_ ;\-##,##0\ "/>
    <numFmt numFmtId="177" formatCode="#,##0_ ;[Red]\-#,##0\ "/>
    <numFmt numFmtId="179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44120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44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27" t="s">
        <v>19</v>
      </c>
      <c r="J2" s="1" t="s">
        <v>20</v>
      </c>
      <c r="K2" s="28" t="s">
        <v>21</v>
      </c>
      <c r="L2" s="28" t="s">
        <v>22</v>
      </c>
      <c r="M2" s="28" t="s">
        <v>23</v>
      </c>
      <c r="N2" s="28" t="s">
        <v>24</v>
      </c>
      <c r="O2" s="28" t="s">
        <v>25</v>
      </c>
      <c r="P2" s="28" t="s">
        <v>26</v>
      </c>
      <c r="Q2" s="28" t="s">
        <v>27</v>
      </c>
      <c r="R2" s="28" t="s">
        <v>28</v>
      </c>
      <c r="S2" s="1" t="s">
        <v>29</v>
      </c>
      <c r="T2" s="1" t="s">
        <v>30</v>
      </c>
      <c r="U2" s="1" t="s">
        <v>31</v>
      </c>
      <c r="V2" s="1" t="s">
        <v>23</v>
      </c>
      <c r="W2" s="1" t="s">
        <v>32</v>
      </c>
      <c r="X2" s="1" t="s">
        <v>33</v>
      </c>
      <c r="Y2" s="1" t="s">
        <v>34</v>
      </c>
      <c r="Z2" s="1" t="s">
        <v>35</v>
      </c>
      <c r="AA2" s="1" t="s">
        <v>36</v>
      </c>
      <c r="AB2" s="1" t="s">
        <v>37</v>
      </c>
      <c r="AC2" s="1">
        <v>6055</v>
      </c>
      <c r="AD2" s="1" t="s">
        <v>21</v>
      </c>
      <c r="AE2" s="1" t="s">
        <v>38</v>
      </c>
      <c r="AF2" s="1" t="s">
        <v>39</v>
      </c>
    </row>
    <row r="3" spans="1:32" ht="30" customHeight="1">
      <c r="A3" s="30" t="s">
        <v>5</v>
      </c>
      <c r="B3" s="2">
        <v>7312</v>
      </c>
      <c r="C3" s="2">
        <f>F3/19</f>
        <v>73684.210526315786</v>
      </c>
      <c r="D3" s="4">
        <f>B3/C3</f>
        <v>9.9234285714285719E-2</v>
      </c>
      <c r="E3" s="2">
        <v>483244</v>
      </c>
      <c r="F3" s="24">
        <v>1400000</v>
      </c>
      <c r="G3" s="12">
        <f xml:space="preserve"> E3/F3</f>
        <v>0.34517428571428571</v>
      </c>
      <c r="H3" s="10">
        <f>E3-C3*2</f>
        <v>335875.57894736843</v>
      </c>
      <c r="I3" s="13">
        <f>E3-F3</f>
        <v>-916756</v>
      </c>
      <c r="J3" s="10">
        <v>7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0</v>
      </c>
      <c r="Y3" s="10"/>
      <c r="Z3" s="10">
        <v>1</v>
      </c>
      <c r="AA3" s="10">
        <v>0</v>
      </c>
      <c r="AB3" s="10">
        <v>0</v>
      </c>
      <c r="AC3" s="10">
        <v>0</v>
      </c>
      <c r="AD3" s="10"/>
      <c r="AE3" s="10" t="s">
        <v>41</v>
      </c>
      <c r="AF3" s="10"/>
    </row>
    <row r="4" spans="1:32" ht="30" customHeight="1">
      <c r="A4" s="30" t="s">
        <v>2</v>
      </c>
      <c r="B4" s="2">
        <v>66325</v>
      </c>
      <c r="C4" s="2">
        <f>F4/19</f>
        <v>63157.894736842107</v>
      </c>
      <c r="D4" s="4">
        <f>B4/C4</f>
        <v>1.0501458333333333</v>
      </c>
      <c r="E4" s="2">
        <v>289688</v>
      </c>
      <c r="F4" s="24">
        <v>1200000</v>
      </c>
      <c r="G4" s="12">
        <f xml:space="preserve"> E4/F4</f>
        <v>0.24140666666666666</v>
      </c>
      <c r="H4" s="10">
        <f>E4-C4*2</f>
        <v>163372.21052631579</v>
      </c>
      <c r="I4" s="13">
        <f>E4-F4</f>
        <v>-910312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6</v>
      </c>
      <c r="AB4" s="10">
        <v>0</v>
      </c>
      <c r="AC4" s="10">
        <v>0</v>
      </c>
      <c r="AD4" s="10"/>
      <c r="AE4" s="10" t="s">
        <v>40</v>
      </c>
      <c r="AF4" s="10"/>
    </row>
    <row r="5" spans="1:32" ht="30" customHeight="1">
      <c r="A5" s="30" t="s">
        <v>6</v>
      </c>
      <c r="B5" s="2">
        <v>24224</v>
      </c>
      <c r="C5" s="2">
        <f>F5/19</f>
        <v>52631.57894736842</v>
      </c>
      <c r="D5" s="4">
        <f>B5/C5</f>
        <v>0.460256</v>
      </c>
      <c r="E5" s="2">
        <v>297413</v>
      </c>
      <c r="F5" s="24">
        <v>1000000</v>
      </c>
      <c r="G5" s="12">
        <f xml:space="preserve"> E5/F5</f>
        <v>0.29741299999999998</v>
      </c>
      <c r="H5" s="10">
        <f>E5-C5*2</f>
        <v>192149.84210526315</v>
      </c>
      <c r="I5" s="13">
        <f>E5-F5</f>
        <v>-702587</v>
      </c>
      <c r="J5" s="10">
        <v>1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0</v>
      </c>
      <c r="AB5" s="10">
        <v>2</v>
      </c>
      <c r="AC5" s="10">
        <v>0</v>
      </c>
      <c r="AD5" s="10"/>
      <c r="AE5" s="10" t="s">
        <v>40</v>
      </c>
      <c r="AF5" s="10"/>
    </row>
    <row r="6" spans="1:32" s="18" customFormat="1" ht="30" customHeight="1">
      <c r="A6" s="31" t="s">
        <v>12</v>
      </c>
      <c r="B6" s="3">
        <f>SUM(B3:B5)</f>
        <v>97861</v>
      </c>
      <c r="C6" s="3">
        <f>SUM(C3:C5)</f>
        <v>189473.68421052632</v>
      </c>
      <c r="D6" s="5">
        <f>B6/C6</f>
        <v>0.51648861111111111</v>
      </c>
      <c r="E6" s="3">
        <f>SUM(E3:E5)</f>
        <v>1070345</v>
      </c>
      <c r="F6" s="25">
        <f>SUM(F3:F5)</f>
        <v>3600000</v>
      </c>
      <c r="G6" s="15">
        <f xml:space="preserve"> E6/F6</f>
        <v>0.29731805555555557</v>
      </c>
      <c r="H6" s="14">
        <f>E6-C6*2</f>
        <v>691397.63157894742</v>
      </c>
      <c r="I6" s="16">
        <f>E6-F6</f>
        <v>-2529655</v>
      </c>
      <c r="J6" s="14">
        <f>SUM(J3:J5)</f>
        <v>8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0</v>
      </c>
      <c r="Y6" s="14"/>
      <c r="Z6" s="14">
        <f>SUM(Z3:Z5)</f>
        <v>1</v>
      </c>
      <c r="AA6" s="14">
        <f>SUM(AA3:AA5)</f>
        <v>6</v>
      </c>
      <c r="AB6" s="14">
        <f>SUM(AB3:AB5)</f>
        <v>2</v>
      </c>
      <c r="AC6" s="14">
        <f>SUM(AC3:AC5)</f>
        <v>0</v>
      </c>
      <c r="AD6" s="14"/>
      <c r="AE6" s="14"/>
      <c r="AF6" s="14"/>
    </row>
    <row r="7" spans="1:32" ht="30" customHeight="1">
      <c r="A7" s="30" t="s">
        <v>4</v>
      </c>
      <c r="B7" s="2">
        <v>26106</v>
      </c>
      <c r="C7" s="2">
        <f>F7/19</f>
        <v>63157.894736842107</v>
      </c>
      <c r="D7" s="4">
        <f>B7/C7</f>
        <v>0.41334499999999996</v>
      </c>
      <c r="E7" s="2">
        <v>607652</v>
      </c>
      <c r="F7" s="24">
        <v>1200000</v>
      </c>
      <c r="G7" s="12">
        <f xml:space="preserve"> E7/F7</f>
        <v>0.5063766666666667</v>
      </c>
      <c r="H7" s="10">
        <f>E7-C7*2</f>
        <v>481336.21052631579</v>
      </c>
      <c r="I7" s="13">
        <f>E7-F7</f>
        <v>-592348</v>
      </c>
      <c r="J7" s="10">
        <v>3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0</v>
      </c>
      <c r="AA7" s="10">
        <v>0</v>
      </c>
      <c r="AB7" s="10">
        <v>1</v>
      </c>
      <c r="AC7" s="10">
        <v>0</v>
      </c>
      <c r="AD7" s="10"/>
      <c r="AE7" s="10" t="s">
        <v>41</v>
      </c>
      <c r="AF7" s="10"/>
    </row>
    <row r="8" spans="1:32" ht="30" customHeight="1">
      <c r="A8" s="30" t="s">
        <v>7</v>
      </c>
      <c r="B8" s="2">
        <v>114567</v>
      </c>
      <c r="C8" s="2">
        <f>F8/19</f>
        <v>42105.26315789474</v>
      </c>
      <c r="D8" s="4">
        <f>B8/C8</f>
        <v>2.7209662499999996</v>
      </c>
      <c r="E8" s="2">
        <v>334677</v>
      </c>
      <c r="F8" s="24">
        <v>800000</v>
      </c>
      <c r="G8" s="12">
        <f xml:space="preserve"> E8/F8</f>
        <v>0.41834624999999998</v>
      </c>
      <c r="H8" s="10">
        <f>E8-C8*2</f>
        <v>250466.4736842105</v>
      </c>
      <c r="I8" s="13">
        <f>E8-F8</f>
        <v>-465323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0</v>
      </c>
      <c r="Y8" s="10"/>
      <c r="Z8" s="10">
        <v>0</v>
      </c>
      <c r="AA8" s="10">
        <v>0</v>
      </c>
      <c r="AB8" s="10">
        <v>0</v>
      </c>
      <c r="AC8" s="10">
        <v>0</v>
      </c>
      <c r="AD8" s="10"/>
      <c r="AE8" s="10" t="s">
        <v>41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140673</v>
      </c>
      <c r="C10" s="3">
        <f>SUM(C7:C9)</f>
        <v>121052.63157894739</v>
      </c>
      <c r="D10" s="5">
        <f>B10/C10</f>
        <v>1.162081304347826</v>
      </c>
      <c r="E10" s="3">
        <f>SUM(E7:E9)</f>
        <v>945124</v>
      </c>
      <c r="F10" s="25">
        <f>SUM(F7:F9)</f>
        <v>2300000</v>
      </c>
      <c r="G10" s="15">
        <f xml:space="preserve"> E10/F10</f>
        <v>0.41092347826086956</v>
      </c>
      <c r="H10" s="14">
        <f>E10-C10*2</f>
        <v>703018.73684210517</v>
      </c>
      <c r="I10" s="16">
        <f>E10-F10</f>
        <v>-1354876</v>
      </c>
      <c r="J10" s="14">
        <f>SUM(J7:J9)</f>
        <v>3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0</v>
      </c>
      <c r="Y10" s="14"/>
      <c r="Z10" s="14">
        <f>SUM(Z7:Z9)</f>
        <v>0</v>
      </c>
      <c r="AA10" s="14">
        <f>SUM(AA7:AA9)</f>
        <v>0</v>
      </c>
      <c r="AB10" s="14">
        <f>SUM(AB7:AB9)</f>
        <v>1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19484</v>
      </c>
      <c r="C11" s="2">
        <f>F11/19</f>
        <v>52631.57894736842</v>
      </c>
      <c r="D11" s="4">
        <f>B11/C11</f>
        <v>0.37019600000000003</v>
      </c>
      <c r="E11" s="2">
        <v>272099</v>
      </c>
      <c r="F11" s="24">
        <v>1000000</v>
      </c>
      <c r="G11" s="12">
        <f xml:space="preserve"> E11/F11</f>
        <v>0.27209899999999998</v>
      </c>
      <c r="H11" s="10">
        <f>E11-C11*2</f>
        <v>166835.84210526315</v>
      </c>
      <c r="I11" s="13">
        <f>E11-F11</f>
        <v>-727901</v>
      </c>
      <c r="J11" s="10">
        <v>1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1</v>
      </c>
      <c r="AC11" s="10">
        <v>0</v>
      </c>
      <c r="AD11" s="10"/>
      <c r="AE11" s="10" t="s">
        <v>42</v>
      </c>
      <c r="AF11" s="10"/>
    </row>
    <row r="12" spans="1:32" ht="30" customHeight="1">
      <c r="A12" s="30" t="s">
        <v>8</v>
      </c>
      <c r="B12" s="2">
        <v>0</v>
      </c>
      <c r="C12" s="2">
        <f>F12/19</f>
        <v>15789.473684210527</v>
      </c>
      <c r="D12" s="4">
        <f>B12/C12</f>
        <v>0</v>
      </c>
      <c r="E12" s="2">
        <v>80670</v>
      </c>
      <c r="F12" s="24">
        <v>300000</v>
      </c>
      <c r="G12" s="12">
        <f xml:space="preserve"> E12/F12</f>
        <v>0.26889999999999997</v>
      </c>
      <c r="H12" s="10">
        <f>E12-C12*2</f>
        <v>49091.052631578947</v>
      </c>
      <c r="I12" s="13">
        <f>E12-F12</f>
        <v>-219330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2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7977</v>
      </c>
      <c r="C13" s="2">
        <f>F13/19</f>
        <v>10526.315789473685</v>
      </c>
      <c r="D13" s="4">
        <f>B13/C13</f>
        <v>0.75781499999999991</v>
      </c>
      <c r="E13" s="2">
        <v>78883</v>
      </c>
      <c r="F13" s="24">
        <v>200000</v>
      </c>
      <c r="G13" s="12">
        <f xml:space="preserve"> E13/F13</f>
        <v>0.39441500000000002</v>
      </c>
      <c r="H13" s="10">
        <f>E13-C13*2</f>
        <v>57830.368421052626</v>
      </c>
      <c r="I13" s="13">
        <f>E13-F13</f>
        <v>-121117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27461</v>
      </c>
      <c r="C14" s="3">
        <f>SUM(C11:C13)</f>
        <v>78947.368421052626</v>
      </c>
      <c r="D14" s="5">
        <f>B14/C14</f>
        <v>0.34783933333333333</v>
      </c>
      <c r="E14" s="3">
        <f>SUM(E11:E13)</f>
        <v>431652</v>
      </c>
      <c r="F14" s="25">
        <f>SUM(F11:F13)</f>
        <v>1500000</v>
      </c>
      <c r="G14" s="15">
        <f xml:space="preserve"> E14/F14</f>
        <v>0.28776800000000002</v>
      </c>
      <c r="H14" s="14">
        <f>E14-C14*2</f>
        <v>273757.26315789472</v>
      </c>
      <c r="I14" s="16">
        <f>E14-F14</f>
        <v>-1068348</v>
      </c>
      <c r="J14" s="14">
        <f>SUM(J11:J13)</f>
        <v>1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3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43</v>
      </c>
      <c r="B15" s="20">
        <f>B6+B10+B14</f>
        <v>265995</v>
      </c>
      <c r="C15" s="20">
        <f>C6+C10+C14</f>
        <v>389473.68421052635</v>
      </c>
      <c r="D15" s="21">
        <f>B6/C6</f>
        <v>0.51648861111111111</v>
      </c>
      <c r="E15" s="20">
        <f>E6+E10+E14</f>
        <v>2447121</v>
      </c>
      <c r="F15" s="26">
        <f>F6+F10+F14</f>
        <v>7400000</v>
      </c>
      <c r="G15" s="21">
        <f>G14/G14</f>
        <v>1</v>
      </c>
      <c r="H15" s="19"/>
      <c r="I15" s="19"/>
      <c r="J15" s="19">
        <f>J6+J10+J14</f>
        <v>12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0</v>
      </c>
      <c r="Y15" s="19"/>
      <c r="Z15" s="19">
        <f>Z6+Z10+Z14</f>
        <v>1</v>
      </c>
      <c r="AA15" s="19">
        <f>AA6+AA10+AA14</f>
        <v>6</v>
      </c>
      <c r="AB15" s="19">
        <f>AB6+AB10+AB14</f>
        <v>6</v>
      </c>
      <c r="AC15" s="19">
        <f>AC6+AC10+AC14</f>
        <v>0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2020-10-16T09:26:21Z</dcterms:created>
  <dcterms:modified xsi:type="dcterms:W3CDTF">2020-10-16T09:26:22Z</dcterms:modified>
</cp:coreProperties>
</file>