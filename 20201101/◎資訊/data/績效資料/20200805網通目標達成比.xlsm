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20" windowWidth="17040" windowHeight="10560" activeTab="1"/>
  </bookViews>
  <sheets>
    <sheet name="第 1 頁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B15" i="2"/>
  <c r="B16" s="1"/>
  <c r="D16" s="1"/>
  <c r="B12"/>
  <c r="C16"/>
  <c r="E15"/>
  <c r="C14"/>
  <c r="D14" s="1"/>
  <c r="B14"/>
  <c r="E13"/>
  <c r="D13"/>
  <c r="E12"/>
  <c r="D12"/>
  <c r="E8"/>
  <c r="E7"/>
  <c r="E6"/>
  <c r="E5"/>
  <c r="E4"/>
  <c r="E3"/>
  <c r="C7"/>
  <c r="B7"/>
  <c r="F7"/>
  <c r="C5"/>
  <c r="B5"/>
  <c r="D5" s="1"/>
  <c r="F5"/>
  <c r="D8"/>
  <c r="D6"/>
  <c r="D4"/>
  <c r="D3"/>
  <c r="D15" l="1"/>
  <c r="B17"/>
  <c r="D17" s="1"/>
  <c r="E17"/>
  <c r="E14"/>
  <c r="E16"/>
  <c r="D7"/>
  <c r="F18" i="1"/>
  <c r="E18"/>
  <c r="D18"/>
  <c r="D21" s="1"/>
  <c r="C18"/>
  <c r="F14"/>
  <c r="E14"/>
  <c r="D14"/>
  <c r="C14"/>
  <c r="C21"/>
  <c r="F9"/>
  <c r="F7"/>
  <c r="F16"/>
  <c r="F6"/>
  <c r="F8"/>
  <c r="F15"/>
  <c r="F11"/>
  <c r="F5"/>
  <c r="F10"/>
  <c r="F17"/>
</calcChain>
</file>

<file path=xl/sharedStrings.xml><?xml version="1.0" encoding="utf-8"?>
<sst xmlns="http://schemas.openxmlformats.org/spreadsheetml/2006/main" count="70" uniqueCount="47">
  <si>
    <t>業務員</t>
  </si>
  <si>
    <t>李麗娟</t>
  </si>
  <si>
    <t>張玉玲</t>
  </si>
  <si>
    <t>張嘉芬</t>
  </si>
  <si>
    <t>徐春貴</t>
  </si>
  <si>
    <t>李永齊</t>
  </si>
  <si>
    <t>黃三和</t>
  </si>
  <si>
    <t>許巧琪</t>
  </si>
  <si>
    <t>陳永宗</t>
  </si>
  <si>
    <t>陳巧芬</t>
  </si>
  <si>
    <t>黃宥瑄</t>
  </si>
  <si>
    <t>柯世鵬</t>
  </si>
  <si>
    <t>陳騏毅</t>
  </si>
  <si>
    <t>陳安睫</t>
  </si>
  <si>
    <t>駱麗玲</t>
  </si>
  <si>
    <t>&lt;結  束&gt;</t>
  </si>
  <si>
    <t>行政</t>
  </si>
  <si>
    <t>網電</t>
  </si>
  <si>
    <t>南區</t>
  </si>
  <si>
    <t>北區</t>
  </si>
  <si>
    <t>外銷</t>
  </si>
  <si>
    <t>流通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</si>
  <si>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</si>
  <si>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</si>
  <si>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</si>
  <si>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</si>
  <si>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</si>
  <si>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</si>
  <si>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</si>
  <si>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5" type="noConversion"/>
  </si>
  <si>
    <t>開發</t>
  </si>
  <si>
    <t>小計：</t>
  </si>
  <si>
    <t>網通</t>
  </si>
  <si>
    <t>網企</t>
  </si>
  <si>
    <t>08月銷貨淨額</t>
  </si>
  <si>
    <t>08月目標</t>
  </si>
  <si>
    <t>達成比</t>
  </si>
  <si>
    <t>尚需努力的數字</t>
  </si>
  <si>
    <t>8/5當日績效</t>
  </si>
  <si>
    <t>網通部</t>
    <phoneticPr fontId="5" type="noConversion"/>
  </si>
  <si>
    <t>累計達成比(實際績效)</t>
  </si>
  <si>
    <t>2020/08/01~08/05</t>
  </si>
  <si>
    <t>0801_0805累計達成比</t>
  </si>
  <si>
    <t>累計達成比(預入績效)</t>
  </si>
  <si>
    <t>全聯8/25止預入</t>
  </si>
  <si>
    <t>博客來止預入
東森止預入</t>
  </si>
  <si>
    <t>預入績效</t>
  </si>
</sst>
</file>

<file path=xl/styles.xml><?xml version="1.0" encoding="utf-8"?>
<styleSheet xmlns="http://schemas.openxmlformats.org/spreadsheetml/2006/main">
  <numFmts count="2">
    <numFmt numFmtId="176" formatCode="##,##0_ ;\-##,##0\ "/>
    <numFmt numFmtId="178" formatCode="#,##0_);[Red]\-#,##0"/>
  </numFmts>
  <fonts count="14">
    <font>
      <sz val="10"/>
      <name val="Arial"/>
    </font>
    <font>
      <sz val="12"/>
      <name val="新細明體"/>
      <family val="1"/>
      <charset val="136"/>
    </font>
    <font>
      <sz val="10"/>
      <name val="SimSun"/>
      <charset val="134"/>
    </font>
    <font>
      <sz val="12"/>
      <name val="SimSun"/>
      <charset val="134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22"/>
      <color rgb="FFFF0000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name val="微軟正黑體"/>
      <family val="2"/>
      <charset val="136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left" vertical="center"/>
    </xf>
    <xf numFmtId="176" fontId="1" fillId="0" borderId="1" xfId="0" applyNumberFormat="1" applyFont="1" applyBorder="1" applyAlignment="1">
      <alignment horizontal="right" vertic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6" fontId="3" fillId="0" borderId="0" xfId="0" applyNumberFormat="1" applyFont="1" applyBorder="1" applyAlignment="1">
      <alignment horizontal="right" vertical="center"/>
    </xf>
    <xf numFmtId="0" fontId="2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/>
    </xf>
    <xf numFmtId="10" fontId="3" fillId="0" borderId="0" xfId="0" applyNumberFormat="1" applyFont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8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176" fontId="8" fillId="0" borderId="0" xfId="0" applyNumberFormat="1" applyFont="1" applyBorder="1" applyAlignment="1">
      <alignment horizontal="right" vertical="center"/>
    </xf>
    <xf numFmtId="0" fontId="8" fillId="0" borderId="0" xfId="0" applyFont="1"/>
    <xf numFmtId="10" fontId="8" fillId="0" borderId="0" xfId="0" applyNumberFormat="1" applyFont="1"/>
    <xf numFmtId="0" fontId="9" fillId="0" borderId="0" xfId="0" applyFont="1"/>
    <xf numFmtId="0" fontId="10" fillId="0" borderId="0" xfId="0" applyFont="1"/>
    <xf numFmtId="0" fontId="12" fillId="0" borderId="0" xfId="0" applyFont="1" applyAlignment="1">
      <alignment vertical="center"/>
    </xf>
    <xf numFmtId="0" fontId="12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/>
    </xf>
    <xf numFmtId="178" fontId="12" fillId="0" borderId="4" xfId="0" applyNumberFormat="1" applyFont="1" applyBorder="1" applyAlignment="1">
      <alignment horizontal="right" vertical="center"/>
    </xf>
    <xf numFmtId="0" fontId="12" fillId="2" borderId="4" xfId="0" applyFont="1" applyFill="1" applyBorder="1" applyAlignment="1">
      <alignment horizontal="left" vertical="center"/>
    </xf>
    <xf numFmtId="178" fontId="12" fillId="2" borderId="4" xfId="0" applyNumberFormat="1" applyFont="1" applyFill="1" applyBorder="1" applyAlignment="1">
      <alignment horizontal="right" vertical="center"/>
    </xf>
    <xf numFmtId="0" fontId="12" fillId="3" borderId="4" xfId="0" applyFont="1" applyFill="1" applyBorder="1" applyAlignment="1">
      <alignment horizontal="left" vertical="center"/>
    </xf>
    <xf numFmtId="178" fontId="12" fillId="3" borderId="4" xfId="0" applyNumberFormat="1" applyFont="1" applyFill="1" applyBorder="1" applyAlignment="1">
      <alignment horizontal="right" vertical="center"/>
    </xf>
    <xf numFmtId="0" fontId="12" fillId="0" borderId="2" xfId="0" applyFont="1" applyBorder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1" fillId="0" borderId="3" xfId="0" applyFont="1" applyBorder="1" applyAlignment="1">
      <alignment horizontal="center" vertical="center"/>
    </xf>
    <xf numFmtId="3" fontId="12" fillId="0" borderId="4" xfId="0" applyNumberFormat="1" applyFont="1" applyBorder="1" applyAlignment="1">
      <alignment vertical="center" wrapText="1"/>
    </xf>
    <xf numFmtId="0" fontId="12" fillId="0" borderId="4" xfId="0" applyFont="1" applyBorder="1" applyAlignment="1">
      <alignment vertical="center" wrapText="1"/>
    </xf>
    <xf numFmtId="0" fontId="12" fillId="5" borderId="3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right" vertical="center" wrapText="1" justifyLastLine="1"/>
    </xf>
    <xf numFmtId="0" fontId="12" fillId="0" borderId="6" xfId="0" applyFont="1" applyBorder="1" applyAlignment="1">
      <alignment horizontal="right" vertical="center" wrapText="1" justifyLastLine="1"/>
    </xf>
    <xf numFmtId="10" fontId="12" fillId="0" borderId="4" xfId="0" applyNumberFormat="1" applyFont="1" applyBorder="1" applyAlignment="1">
      <alignment horizontal="right" vertical="center"/>
    </xf>
    <xf numFmtId="178" fontId="11" fillId="0" borderId="4" xfId="0" applyNumberFormat="1" applyFont="1" applyBorder="1" applyAlignment="1">
      <alignment horizontal="right" vertical="center"/>
    </xf>
    <xf numFmtId="10" fontId="12" fillId="2" borderId="4" xfId="0" applyNumberFormat="1" applyFont="1" applyFill="1" applyBorder="1" applyAlignment="1">
      <alignment horizontal="right" vertical="center"/>
    </xf>
    <xf numFmtId="178" fontId="11" fillId="2" borderId="4" xfId="0" applyNumberFormat="1" applyFont="1" applyFill="1" applyBorder="1" applyAlignment="1">
      <alignment horizontal="right" vertical="center"/>
    </xf>
    <xf numFmtId="10" fontId="12" fillId="3" borderId="4" xfId="0" applyNumberFormat="1" applyFont="1" applyFill="1" applyBorder="1" applyAlignment="1">
      <alignment horizontal="right" vertical="center"/>
    </xf>
    <xf numFmtId="178" fontId="11" fillId="3" borderId="4" xfId="0" applyNumberFormat="1" applyFont="1" applyFill="1" applyBorder="1" applyAlignment="1">
      <alignment horizontal="right" vertical="center"/>
    </xf>
    <xf numFmtId="0" fontId="11" fillId="0" borderId="0" xfId="0" applyFont="1" applyAlignment="1">
      <alignment vertical="center"/>
    </xf>
    <xf numFmtId="178" fontId="11" fillId="0" borderId="3" xfId="0" applyNumberFormat="1" applyFont="1" applyBorder="1" applyAlignment="1">
      <alignment horizontal="right" vertical="center"/>
    </xf>
    <xf numFmtId="178" fontId="11" fillId="2" borderId="3" xfId="0" applyNumberFormat="1" applyFont="1" applyFill="1" applyBorder="1" applyAlignment="1">
      <alignment horizontal="right" vertical="center"/>
    </xf>
    <xf numFmtId="178" fontId="11" fillId="3" borderId="3" xfId="0" applyNumberFormat="1" applyFont="1" applyFill="1" applyBorder="1" applyAlignment="1">
      <alignment horizontal="right" vertical="center"/>
    </xf>
    <xf numFmtId="0" fontId="12" fillId="0" borderId="2" xfId="0" applyFont="1" applyBorder="1" applyAlignment="1">
      <alignment horizontal="left" vertical="center"/>
    </xf>
    <xf numFmtId="0" fontId="12" fillId="0" borderId="4" xfId="0" applyFont="1" applyBorder="1" applyAlignment="1">
      <alignment horizontal="right" vertical="center"/>
    </xf>
    <xf numFmtId="0" fontId="12" fillId="0" borderId="4" xfId="0" applyFont="1" applyBorder="1" applyAlignme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3"/>
  <sheetViews>
    <sheetView workbookViewId="0">
      <selection activeCell="A18" sqref="A18:XFD18"/>
    </sheetView>
  </sheetViews>
  <sheetFormatPr defaultColWidth="9.140625" defaultRowHeight="14.25"/>
  <cols>
    <col min="1" max="1" width="8.7109375" style="6" customWidth="1"/>
    <col min="2" max="2" width="8.7109375" style="16" customWidth="1"/>
    <col min="3" max="6" width="16.7109375" style="4" customWidth="1"/>
    <col min="7" max="16384" width="9.140625" style="4"/>
  </cols>
  <sheetData>
    <row r="1" spans="1:12" ht="15">
      <c r="H1"/>
      <c r="I1"/>
      <c r="J1"/>
      <c r="K1"/>
      <c r="L1"/>
    </row>
    <row r="2" spans="1:12" ht="15">
      <c r="H2"/>
      <c r="I2"/>
      <c r="J2"/>
      <c r="K2"/>
      <c r="L2"/>
    </row>
    <row r="3" spans="1:12" ht="20.25">
      <c r="A3" s="11">
        <v>20200805</v>
      </c>
      <c r="B3" s="12"/>
      <c r="C3" s="9" t="s">
        <v>24</v>
      </c>
      <c r="D3" s="9" t="s">
        <v>25</v>
      </c>
      <c r="E3" s="8" t="s">
        <v>26</v>
      </c>
      <c r="F3" s="7" t="s">
        <v>28</v>
      </c>
      <c r="H3"/>
      <c r="I3"/>
      <c r="J3"/>
      <c r="K3"/>
      <c r="L3"/>
    </row>
    <row r="4" spans="1:12" ht="18.75">
      <c r="A4" s="13" t="s">
        <v>23</v>
      </c>
      <c r="B4" s="14" t="s">
        <v>29</v>
      </c>
      <c r="C4" s="9"/>
      <c r="D4" s="9"/>
      <c r="E4" s="8" t="s">
        <v>27</v>
      </c>
      <c r="F4" s="7"/>
      <c r="H4"/>
      <c r="I4"/>
      <c r="J4"/>
      <c r="K4"/>
      <c r="L4"/>
    </row>
    <row r="5" spans="1:12" ht="15">
      <c r="A5" s="6" t="s">
        <v>19</v>
      </c>
      <c r="B5" s="17" t="s">
        <v>5</v>
      </c>
      <c r="C5" s="15">
        <v>8948</v>
      </c>
      <c r="D5" s="15">
        <v>42529</v>
      </c>
      <c r="E5" s="5">
        <v>1200</v>
      </c>
      <c r="F5" s="18">
        <f>ROUND(D5/E5/10,2)%</f>
        <v>3.5400000000000001E-2</v>
      </c>
      <c r="H5"/>
      <c r="I5"/>
      <c r="J5"/>
      <c r="K5"/>
      <c r="L5"/>
    </row>
    <row r="6" spans="1:12" ht="15">
      <c r="A6" s="6" t="s">
        <v>19</v>
      </c>
      <c r="B6" s="17" t="s">
        <v>11</v>
      </c>
      <c r="C6" s="15">
        <v>96443</v>
      </c>
      <c r="D6" s="15">
        <v>117726</v>
      </c>
      <c r="E6" s="5">
        <v>1500</v>
      </c>
      <c r="F6" s="18">
        <f>ROUND(D6/E6/10,2)%</f>
        <v>7.85E-2</v>
      </c>
      <c r="H6"/>
      <c r="I6"/>
      <c r="J6"/>
      <c r="K6"/>
      <c r="L6"/>
    </row>
    <row r="7" spans="1:12" ht="15">
      <c r="A7" s="6" t="s">
        <v>19</v>
      </c>
      <c r="B7" s="17" t="s">
        <v>13</v>
      </c>
      <c r="C7" s="15">
        <v>63468</v>
      </c>
      <c r="D7" s="15">
        <v>179628</v>
      </c>
      <c r="E7" s="5">
        <v>900</v>
      </c>
      <c r="F7" s="18">
        <f>ROUND(D7/E7/10,2)%</f>
        <v>0.1996</v>
      </c>
      <c r="H7"/>
      <c r="I7"/>
      <c r="J7"/>
      <c r="K7"/>
      <c r="L7"/>
    </row>
    <row r="8" spans="1:12" ht="15">
      <c r="A8" s="6" t="s">
        <v>22</v>
      </c>
      <c r="B8" s="17" t="s">
        <v>9</v>
      </c>
      <c r="C8" s="15">
        <v>19643</v>
      </c>
      <c r="D8" s="15">
        <v>108929</v>
      </c>
      <c r="E8" s="5">
        <v>1350</v>
      </c>
      <c r="F8" s="18">
        <f>ROUND(D8/E8/10,2)%</f>
        <v>8.0700000000000008E-2</v>
      </c>
      <c r="H8"/>
      <c r="I8"/>
      <c r="J8"/>
      <c r="K8"/>
      <c r="L8"/>
    </row>
    <row r="9" spans="1:12" ht="15">
      <c r="A9" s="6" t="s">
        <v>22</v>
      </c>
      <c r="B9" s="17" t="s">
        <v>14</v>
      </c>
      <c r="C9" s="15">
        <v>0</v>
      </c>
      <c r="D9" s="15">
        <v>144657</v>
      </c>
      <c r="E9" s="5">
        <v>900</v>
      </c>
      <c r="F9" s="18">
        <f>ROUND(D9/E9/10,2)%</f>
        <v>0.16070000000000001</v>
      </c>
      <c r="H9"/>
      <c r="I9"/>
      <c r="J9"/>
      <c r="K9"/>
      <c r="L9"/>
    </row>
    <row r="10" spans="1:12" ht="15">
      <c r="A10" s="6" t="s">
        <v>18</v>
      </c>
      <c r="B10" s="17" t="s">
        <v>3</v>
      </c>
      <c r="C10" s="15">
        <v>18594</v>
      </c>
      <c r="D10" s="15">
        <v>45468</v>
      </c>
      <c r="E10" s="5">
        <v>300</v>
      </c>
      <c r="F10" s="18">
        <f>ROUND(D10/E10/10,2)%</f>
        <v>0.15160000000000001</v>
      </c>
      <c r="H10"/>
      <c r="I10"/>
      <c r="J10"/>
      <c r="K10"/>
      <c r="L10"/>
    </row>
    <row r="11" spans="1:12" ht="15">
      <c r="A11" s="6" t="s">
        <v>18</v>
      </c>
      <c r="B11" s="17" t="s">
        <v>6</v>
      </c>
      <c r="C11" s="15">
        <v>103420</v>
      </c>
      <c r="D11" s="15">
        <v>237856</v>
      </c>
      <c r="E11" s="5">
        <v>1000</v>
      </c>
      <c r="F11" s="18">
        <f>ROUND(D11/E11/10,2)%</f>
        <v>0.2379</v>
      </c>
      <c r="H11"/>
      <c r="I11"/>
      <c r="J11"/>
      <c r="K11"/>
      <c r="L11"/>
    </row>
    <row r="12" spans="1:12" ht="15">
      <c r="A12" s="6" t="s">
        <v>20</v>
      </c>
      <c r="B12" s="17" t="s">
        <v>7</v>
      </c>
      <c r="C12" s="15">
        <v>7477</v>
      </c>
      <c r="D12" s="15">
        <v>25477</v>
      </c>
      <c r="E12" s="5">
        <v>0</v>
      </c>
      <c r="F12" s="18">
        <v>0</v>
      </c>
      <c r="H12"/>
      <c r="I12"/>
      <c r="J12"/>
      <c r="K12"/>
      <c r="L12"/>
    </row>
    <row r="13" spans="1:12" ht="15">
      <c r="A13" s="6" t="s">
        <v>20</v>
      </c>
      <c r="B13" s="17" t="s">
        <v>10</v>
      </c>
      <c r="C13" s="15">
        <v>0</v>
      </c>
      <c r="D13" s="15">
        <v>35667</v>
      </c>
      <c r="E13" s="5">
        <v>0</v>
      </c>
      <c r="F13" s="18">
        <v>0</v>
      </c>
      <c r="H13"/>
      <c r="I13"/>
      <c r="J13"/>
      <c r="K13"/>
      <c r="L13"/>
    </row>
    <row r="14" spans="1:12" s="26" customFormat="1" ht="15">
      <c r="A14" s="21" t="s">
        <v>30</v>
      </c>
      <c r="B14" s="22" t="s">
        <v>31</v>
      </c>
      <c r="C14" s="23">
        <f>SUM(C5:C13)</f>
        <v>317993</v>
      </c>
      <c r="D14" s="23">
        <f>SUM(D5:D13)</f>
        <v>937937</v>
      </c>
      <c r="E14" s="24">
        <f>SUM(E5:E13)</f>
        <v>7150</v>
      </c>
      <c r="F14" s="25">
        <f>ROUND(D14/E14/10,2)%</f>
        <v>0.13119999999999998</v>
      </c>
      <c r="H14" s="27"/>
      <c r="I14" s="27"/>
      <c r="J14" s="27"/>
      <c r="K14" s="27"/>
      <c r="L14" s="27"/>
    </row>
    <row r="15" spans="1:12" ht="15">
      <c r="A15" s="6" t="s">
        <v>21</v>
      </c>
      <c r="B15" s="17" t="s">
        <v>8</v>
      </c>
      <c r="C15" s="15">
        <v>169470</v>
      </c>
      <c r="D15" s="15">
        <v>171476</v>
      </c>
      <c r="E15" s="5">
        <v>2700</v>
      </c>
      <c r="F15" s="18">
        <f>ROUND(D15/E15/10,2)%</f>
        <v>6.3500000000000001E-2</v>
      </c>
      <c r="H15"/>
      <c r="I15"/>
      <c r="J15"/>
      <c r="K15"/>
      <c r="L15"/>
    </row>
    <row r="16" spans="1:12" ht="15">
      <c r="A16" s="6" t="s">
        <v>21</v>
      </c>
      <c r="B16" s="17" t="s">
        <v>12</v>
      </c>
      <c r="C16" s="15">
        <v>44983</v>
      </c>
      <c r="D16" s="15">
        <v>54289</v>
      </c>
      <c r="E16" s="5">
        <v>800</v>
      </c>
      <c r="F16" s="18">
        <f>ROUND(D16/E16/10,2)%</f>
        <v>6.7900000000000002E-2</v>
      </c>
      <c r="H16"/>
      <c r="I16"/>
      <c r="J16"/>
      <c r="K16"/>
      <c r="L16"/>
    </row>
    <row r="17" spans="1:12" ht="15">
      <c r="A17" s="6" t="s">
        <v>17</v>
      </c>
      <c r="B17" s="17" t="s">
        <v>2</v>
      </c>
      <c r="C17" s="15">
        <v>16123</v>
      </c>
      <c r="D17" s="15">
        <v>82126</v>
      </c>
      <c r="E17" s="5">
        <v>3500</v>
      </c>
      <c r="F17" s="18">
        <f>ROUND(D17/E17/10,2)%</f>
        <v>2.35E-2</v>
      </c>
      <c r="H17"/>
      <c r="I17"/>
      <c r="J17"/>
      <c r="K17"/>
      <c r="L17"/>
    </row>
    <row r="18" spans="1:12" s="26" customFormat="1" ht="15">
      <c r="A18" s="21" t="s">
        <v>32</v>
      </c>
      <c r="B18" s="22" t="s">
        <v>31</v>
      </c>
      <c r="C18" s="23">
        <f>SUM(C15:C17)</f>
        <v>230576</v>
      </c>
      <c r="D18" s="23">
        <f>SUM(D15:D17)</f>
        <v>307891</v>
      </c>
      <c r="E18" s="24">
        <f>SUM(E15:E17)</f>
        <v>7000</v>
      </c>
      <c r="F18" s="25">
        <f>ROUND(D18/E18/10,2)%</f>
        <v>4.4000000000000004E-2</v>
      </c>
      <c r="H18" s="27"/>
      <c r="I18" s="27"/>
      <c r="J18" s="27"/>
      <c r="K18" s="27"/>
      <c r="L18" s="27"/>
    </row>
    <row r="19" spans="1:12" ht="15">
      <c r="A19" s="6" t="s">
        <v>16</v>
      </c>
      <c r="B19" s="17" t="s">
        <v>1</v>
      </c>
      <c r="C19" s="15">
        <v>952</v>
      </c>
      <c r="D19" s="15">
        <v>3479</v>
      </c>
      <c r="E19" s="5">
        <v>0</v>
      </c>
      <c r="F19" s="18">
        <v>0</v>
      </c>
      <c r="H19"/>
      <c r="I19"/>
      <c r="J19"/>
      <c r="K19"/>
      <c r="L19"/>
    </row>
    <row r="20" spans="1:12" ht="15">
      <c r="A20" s="6" t="s">
        <v>16</v>
      </c>
      <c r="B20" s="17" t="s">
        <v>4</v>
      </c>
      <c r="C20" s="15">
        <v>5002</v>
      </c>
      <c r="D20" s="15">
        <v>-19277</v>
      </c>
      <c r="E20" s="5">
        <v>0</v>
      </c>
      <c r="F20" s="18">
        <v>0</v>
      </c>
      <c r="H20"/>
      <c r="I20"/>
      <c r="J20"/>
      <c r="K20"/>
      <c r="L20"/>
    </row>
    <row r="21" spans="1:12" ht="15">
      <c r="B21" s="17"/>
      <c r="C21" s="15">
        <f>SUM(C5:C20)</f>
        <v>1103092</v>
      </c>
      <c r="D21" s="15">
        <f>SUM(D5:D20)</f>
        <v>2475858</v>
      </c>
      <c r="H21"/>
      <c r="I21"/>
      <c r="J21"/>
      <c r="K21"/>
      <c r="L21"/>
    </row>
    <row r="22" spans="1:12" ht="16.5">
      <c r="B22" s="19"/>
      <c r="C22" s="20"/>
      <c r="D22" s="10"/>
      <c r="I22" s="2"/>
      <c r="J22" s="3">
        <v>683918</v>
      </c>
      <c r="K22" s="3">
        <v>0</v>
      </c>
      <c r="L22" s="3">
        <v>683918</v>
      </c>
    </row>
    <row r="23" spans="1:12" ht="16.5">
      <c r="I23" s="1"/>
      <c r="J23" s="1"/>
      <c r="K23" s="1"/>
      <c r="L23" s="2" t="s">
        <v>15</v>
      </c>
    </row>
  </sheetData>
  <sortState ref="A5:F18">
    <sortCondition ref="A5"/>
  </sortState>
  <mergeCells count="4">
    <mergeCell ref="A3:B3"/>
    <mergeCell ref="C3:C4"/>
    <mergeCell ref="D3:D4"/>
    <mergeCell ref="F3:F4"/>
  </mergeCells>
  <phoneticPr fontId="5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17"/>
  <sheetViews>
    <sheetView tabSelected="1" zoomScale="60" zoomScaleNormal="60" workbookViewId="0">
      <selection activeCell="A19" sqref="A19:XFD19"/>
    </sheetView>
  </sheetViews>
  <sheetFormatPr defaultColWidth="10.140625" defaultRowHeight="36" customHeight="1"/>
  <cols>
    <col min="1" max="1" width="16.7109375" style="31" customWidth="1"/>
    <col min="2" max="2" width="32.5703125" style="28" customWidth="1"/>
    <col min="3" max="3" width="29.28515625" style="28" customWidth="1"/>
    <col min="4" max="4" width="23.5703125" style="28" customWidth="1"/>
    <col min="5" max="5" width="35" style="28" customWidth="1"/>
    <col min="6" max="6" width="38.140625" style="28" customWidth="1"/>
    <col min="7" max="7" width="28.140625" style="42" customWidth="1"/>
    <col min="8" max="15" width="10.140625" style="29"/>
    <col min="16" max="16" width="10.140625" style="28"/>
    <col min="17" max="16384" width="10.140625" style="30"/>
  </cols>
  <sheetData>
    <row r="1" spans="1:16" ht="36" customHeight="1">
      <c r="A1" s="60" t="s">
        <v>40</v>
      </c>
      <c r="B1" s="60"/>
      <c r="C1" s="60" t="s">
        <v>41</v>
      </c>
      <c r="D1" s="60"/>
      <c r="I1" s="29" t="s">
        <v>42</v>
      </c>
    </row>
    <row r="2" spans="1:16" ht="36" customHeight="1">
      <c r="A2" s="32" t="s">
        <v>0</v>
      </c>
      <c r="B2" s="33" t="s">
        <v>34</v>
      </c>
      <c r="C2" s="33" t="s">
        <v>35</v>
      </c>
      <c r="D2" s="33" t="s">
        <v>36</v>
      </c>
      <c r="E2" s="34" t="s">
        <v>37</v>
      </c>
      <c r="F2" s="35" t="s">
        <v>38</v>
      </c>
    </row>
    <row r="3" spans="1:16" ht="36" customHeight="1">
      <c r="A3" s="32" t="s">
        <v>8</v>
      </c>
      <c r="B3" s="36">
        <v>171476</v>
      </c>
      <c r="C3" s="36">
        <v>2700000</v>
      </c>
      <c r="D3" s="50">
        <f xml:space="preserve"> B3/C3</f>
        <v>6.3509629629629624E-2</v>
      </c>
      <c r="E3" s="51">
        <f xml:space="preserve"> B3-C3</f>
        <v>-2528524</v>
      </c>
      <c r="F3" s="36">
        <v>169470</v>
      </c>
    </row>
    <row r="4" spans="1:16" ht="36" customHeight="1">
      <c r="A4" s="32" t="s">
        <v>12</v>
      </c>
      <c r="B4" s="36">
        <v>54289</v>
      </c>
      <c r="C4" s="36">
        <v>800000</v>
      </c>
      <c r="D4" s="50">
        <f xml:space="preserve"> B4/C4</f>
        <v>6.7861249999999998E-2</v>
      </c>
      <c r="E4" s="51">
        <f xml:space="preserve"> B4-C4</f>
        <v>-745711</v>
      </c>
      <c r="F4" s="36">
        <v>44983</v>
      </c>
    </row>
    <row r="5" spans="1:16" ht="36" customHeight="1">
      <c r="A5" s="37" t="s">
        <v>21</v>
      </c>
      <c r="B5" s="38">
        <f>SUM(B3:B4)</f>
        <v>225765</v>
      </c>
      <c r="C5" s="38">
        <f>SUM(C3:C4)</f>
        <v>3500000</v>
      </c>
      <c r="D5" s="52">
        <f xml:space="preserve"> B5/C5</f>
        <v>6.4504285714285708E-2</v>
      </c>
      <c r="E5" s="53">
        <f xml:space="preserve"> B5-C5</f>
        <v>-3274235</v>
      </c>
      <c r="F5" s="38">
        <f>SUM(F3:F4)</f>
        <v>214453</v>
      </c>
    </row>
    <row r="6" spans="1:16" ht="36" customHeight="1">
      <c r="A6" s="32" t="s">
        <v>2</v>
      </c>
      <c r="B6" s="36">
        <v>82126</v>
      </c>
      <c r="C6" s="36">
        <v>3500000</v>
      </c>
      <c r="D6" s="50">
        <f xml:space="preserve"> B6/C6</f>
        <v>2.3464571428571428E-2</v>
      </c>
      <c r="E6" s="51">
        <f xml:space="preserve"> B6-C6</f>
        <v>-3417874</v>
      </c>
      <c r="F6" s="36">
        <v>16123</v>
      </c>
    </row>
    <row r="7" spans="1:16" ht="36" customHeight="1">
      <c r="A7" s="37" t="s">
        <v>33</v>
      </c>
      <c r="B7" s="38">
        <f>SUM(B6:B6)</f>
        <v>82126</v>
      </c>
      <c r="C7" s="38">
        <f>SUM(C6:C6)</f>
        <v>3500000</v>
      </c>
      <c r="D7" s="52">
        <f xml:space="preserve"> B7/C7</f>
        <v>2.3464571428571428E-2</v>
      </c>
      <c r="E7" s="53">
        <f xml:space="preserve"> B7-C7</f>
        <v>-3417874</v>
      </c>
      <c r="F7" s="38">
        <f>SUM(F6:F6)</f>
        <v>16123</v>
      </c>
    </row>
    <row r="8" spans="1:16" s="56" customFormat="1" ht="36" customHeight="1">
      <c r="A8" s="39" t="s">
        <v>39</v>
      </c>
      <c r="B8" s="40">
        <v>307891</v>
      </c>
      <c r="C8" s="40">
        <v>7000000</v>
      </c>
      <c r="D8" s="54">
        <f xml:space="preserve"> B8/C8</f>
        <v>4.398442857142857E-2</v>
      </c>
      <c r="E8" s="55">
        <f xml:space="preserve"> B8-C8</f>
        <v>-6692109</v>
      </c>
      <c r="F8" s="40">
        <v>230576</v>
      </c>
      <c r="G8" s="42"/>
      <c r="H8" s="29"/>
      <c r="I8" s="29"/>
      <c r="J8" s="29"/>
      <c r="K8" s="29"/>
      <c r="L8" s="29"/>
      <c r="M8" s="29"/>
      <c r="N8" s="29"/>
      <c r="O8" s="29"/>
      <c r="P8" s="28"/>
    </row>
    <row r="10" spans="1:16" ht="36" customHeight="1">
      <c r="A10" s="41" t="s">
        <v>43</v>
      </c>
      <c r="B10" s="41"/>
      <c r="C10" s="41"/>
      <c r="D10" s="41"/>
    </row>
    <row r="11" spans="1:16" ht="36" customHeight="1">
      <c r="A11" s="32" t="s">
        <v>0</v>
      </c>
      <c r="B11" s="33" t="s">
        <v>34</v>
      </c>
      <c r="C11" s="33" t="s">
        <v>35</v>
      </c>
      <c r="D11" s="33" t="s">
        <v>36</v>
      </c>
      <c r="E11" s="43" t="s">
        <v>37</v>
      </c>
      <c r="F11" s="46" t="s">
        <v>46</v>
      </c>
      <c r="G11" s="47"/>
    </row>
    <row r="12" spans="1:16" ht="36" customHeight="1">
      <c r="A12" s="32" t="s">
        <v>8</v>
      </c>
      <c r="B12" s="36">
        <f>B3+G12</f>
        <v>2171476</v>
      </c>
      <c r="C12" s="36">
        <v>2700000</v>
      </c>
      <c r="D12" s="50">
        <f xml:space="preserve"> B12/C12</f>
        <v>0.80425037037037039</v>
      </c>
      <c r="E12" s="57">
        <f xml:space="preserve"> B12-C12</f>
        <v>-528524</v>
      </c>
      <c r="F12" s="61" t="s">
        <v>44</v>
      </c>
      <c r="G12" s="44">
        <v>2000000</v>
      </c>
    </row>
    <row r="13" spans="1:16" ht="36" customHeight="1">
      <c r="A13" s="32" t="s">
        <v>12</v>
      </c>
      <c r="B13" s="36">
        <v>54289</v>
      </c>
      <c r="C13" s="36">
        <v>800000</v>
      </c>
      <c r="D13" s="50">
        <f xml:space="preserve"> B13/C13</f>
        <v>6.7861249999999998E-2</v>
      </c>
      <c r="E13" s="57">
        <f xml:space="preserve"> B13-C13</f>
        <v>-745711</v>
      </c>
      <c r="F13" s="62"/>
      <c r="G13" s="45"/>
    </row>
    <row r="14" spans="1:16" ht="36" customHeight="1">
      <c r="A14" s="37" t="s">
        <v>21</v>
      </c>
      <c r="B14" s="38">
        <f>SUM(B12:B13)</f>
        <v>2225765</v>
      </c>
      <c r="C14" s="38">
        <f>SUM(C12:C13)</f>
        <v>3500000</v>
      </c>
      <c r="D14" s="52">
        <f xml:space="preserve"> B14/C14</f>
        <v>0.63593285714285719</v>
      </c>
      <c r="E14" s="58">
        <f xml:space="preserve"> B14-C14</f>
        <v>-1274235</v>
      </c>
      <c r="F14" s="62"/>
      <c r="G14" s="45"/>
    </row>
    <row r="15" spans="1:16" ht="36" customHeight="1">
      <c r="A15" s="32" t="s">
        <v>2</v>
      </c>
      <c r="B15" s="36">
        <f>B6+G15+G16</f>
        <v>82126</v>
      </c>
      <c r="C15" s="36">
        <v>3500000</v>
      </c>
      <c r="D15" s="50">
        <f xml:space="preserve"> B15/C15</f>
        <v>2.3464571428571428E-2</v>
      </c>
      <c r="E15" s="57">
        <f xml:space="preserve"> B15-C15</f>
        <v>-3417874</v>
      </c>
      <c r="F15" s="48" t="s">
        <v>45</v>
      </c>
      <c r="G15" s="45"/>
    </row>
    <row r="16" spans="1:16" ht="36" customHeight="1">
      <c r="A16" s="37" t="s">
        <v>33</v>
      </c>
      <c r="B16" s="38">
        <f>SUM(B15:B15)</f>
        <v>82126</v>
      </c>
      <c r="C16" s="38">
        <f>SUM(C15:C15)</f>
        <v>3500000</v>
      </c>
      <c r="D16" s="52">
        <f xml:space="preserve"> B16/C16</f>
        <v>2.3464571428571428E-2</v>
      </c>
      <c r="E16" s="58">
        <f xml:space="preserve"> B16-C16</f>
        <v>-3417874</v>
      </c>
      <c r="F16" s="49"/>
      <c r="G16" s="45"/>
    </row>
    <row r="17" spans="1:7" ht="36" customHeight="1">
      <c r="A17" s="39" t="s">
        <v>39</v>
      </c>
      <c r="B17" s="40">
        <f>B14+B16</f>
        <v>2307891</v>
      </c>
      <c r="C17" s="40">
        <v>7000000</v>
      </c>
      <c r="D17" s="54">
        <f xml:space="preserve"> B17/C17</f>
        <v>0.32969871428571429</v>
      </c>
      <c r="E17" s="59">
        <f xml:space="preserve"> B17-C17</f>
        <v>-4692109</v>
      </c>
      <c r="F17" s="62"/>
      <c r="G17" s="45"/>
    </row>
  </sheetData>
  <mergeCells count="3">
    <mergeCell ref="F11:G11"/>
    <mergeCell ref="A10:D10"/>
    <mergeCell ref="F15:F16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 1 頁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2020-08-05T01:16:28Z</dcterms:created>
  <dcterms:modified xsi:type="dcterms:W3CDTF">2020-08-05T01:16:29Z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fcb3043d-9117-4861-bcdc-fff9780c4dda</vt:lpwstr>
  </property>
</Properties>
</file>