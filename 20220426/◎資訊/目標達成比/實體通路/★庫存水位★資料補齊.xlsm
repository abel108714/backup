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S:\開發部\◆業績資料\★開發部績效小幫手專用★\"/>
    </mc:Choice>
  </mc:AlternateContent>
  <bookViews>
    <workbookView xWindow="480" yWindow="30" windowWidth="18315" windowHeight="11655"/>
  </bookViews>
  <sheets>
    <sheet name="Sheet1" sheetId="1" r:id="rId1"/>
    <sheet name="Sheet2" sheetId="2" r:id="rId2"/>
    <sheet name="Sheet3" sheetId="3" r:id="rId3"/>
  </sheets>
  <calcPr calcId="152511"/>
</workbook>
</file>

<file path=xl/calcChain.xml><?xml version="1.0" encoding="utf-8"?>
<calcChain xmlns="http://schemas.openxmlformats.org/spreadsheetml/2006/main">
  <c r="B67" i="1" l="1"/>
  <c r="N67" i="1"/>
  <c r="P67" i="1"/>
  <c r="Q67" i="1" s="1"/>
  <c r="B68" i="1"/>
  <c r="N68" i="1"/>
  <c r="P68" i="1"/>
  <c r="Q68" i="1" s="1"/>
  <c r="B2" i="1"/>
  <c r="N2" i="1"/>
  <c r="P2" i="1"/>
  <c r="B3" i="1"/>
  <c r="N3" i="1"/>
  <c r="P3" i="1"/>
  <c r="Q3" i="1" s="1"/>
  <c r="B4" i="1"/>
  <c r="N4" i="1"/>
  <c r="P4" i="1"/>
  <c r="Q4" i="1" s="1"/>
  <c r="B5" i="1"/>
  <c r="N5" i="1"/>
  <c r="P5" i="1"/>
  <c r="Q5" i="1" s="1"/>
  <c r="B8" i="1"/>
  <c r="N8" i="1"/>
  <c r="P8" i="1"/>
  <c r="Q8" i="1" s="1"/>
  <c r="B9" i="1"/>
  <c r="N9" i="1"/>
  <c r="P9" i="1"/>
  <c r="Q9" i="1" s="1"/>
  <c r="B10" i="1"/>
  <c r="N10" i="1"/>
  <c r="P10" i="1"/>
  <c r="Q10" i="1" s="1"/>
  <c r="B11" i="1"/>
  <c r="N11" i="1"/>
  <c r="P11" i="1"/>
  <c r="Q11" i="1" s="1"/>
  <c r="B12" i="1"/>
  <c r="N12" i="1"/>
  <c r="P12" i="1"/>
  <c r="Q12" i="1" s="1"/>
  <c r="B17" i="1"/>
  <c r="N17" i="1"/>
  <c r="P17" i="1"/>
  <c r="Q17" i="1" s="1"/>
  <c r="B18" i="1"/>
  <c r="N18" i="1"/>
  <c r="P18" i="1"/>
  <c r="Q18" i="1" s="1"/>
  <c r="B20" i="1"/>
  <c r="N20" i="1"/>
  <c r="P20" i="1"/>
  <c r="Q20" i="1" s="1"/>
  <c r="B22" i="1"/>
  <c r="N22" i="1"/>
  <c r="P22" i="1"/>
  <c r="Q22" i="1" s="1"/>
  <c r="B23" i="1"/>
  <c r="N23" i="1"/>
  <c r="P23" i="1"/>
  <c r="Q23" i="1" s="1"/>
  <c r="B24" i="1"/>
  <c r="N24" i="1"/>
  <c r="P24" i="1"/>
  <c r="Q24" i="1" s="1"/>
  <c r="B25" i="1"/>
  <c r="N25" i="1"/>
  <c r="P25" i="1"/>
  <c r="Q25" i="1" s="1"/>
  <c r="B27" i="1"/>
  <c r="N27" i="1"/>
  <c r="P27" i="1"/>
  <c r="Q27" i="1" s="1"/>
  <c r="B28" i="1"/>
  <c r="N28" i="1"/>
  <c r="P28" i="1"/>
  <c r="Q28" i="1" s="1"/>
  <c r="B29" i="1"/>
  <c r="N29" i="1"/>
  <c r="P29" i="1"/>
  <c r="Q29" i="1" s="1"/>
  <c r="B30" i="1"/>
  <c r="N30" i="1"/>
  <c r="P30" i="1"/>
  <c r="Q30" i="1" s="1"/>
  <c r="B31" i="1"/>
  <c r="N31" i="1"/>
  <c r="P31" i="1"/>
  <c r="Q31" i="1" s="1"/>
  <c r="B32" i="1"/>
  <c r="N32" i="1"/>
  <c r="P32" i="1"/>
  <c r="Q32" i="1" s="1"/>
  <c r="B33" i="1"/>
  <c r="N33" i="1"/>
  <c r="P33" i="1"/>
  <c r="Q33" i="1" s="1"/>
  <c r="B34" i="1"/>
  <c r="N34" i="1"/>
  <c r="P34" i="1"/>
  <c r="Q34" i="1" s="1"/>
  <c r="B35" i="1"/>
  <c r="N35" i="1"/>
  <c r="P35" i="1"/>
  <c r="Q35" i="1" s="1"/>
  <c r="B36" i="1"/>
  <c r="N36" i="1"/>
  <c r="P36" i="1"/>
  <c r="B37" i="1"/>
  <c r="N37" i="1"/>
  <c r="P37" i="1"/>
  <c r="Q37" i="1" s="1"/>
  <c r="B38" i="1"/>
  <c r="N38" i="1"/>
  <c r="P38" i="1"/>
  <c r="Q38" i="1" s="1"/>
  <c r="B39" i="1"/>
  <c r="N39" i="1"/>
  <c r="P39" i="1"/>
  <c r="Q39" i="1" s="1"/>
  <c r="B40" i="1"/>
  <c r="N40" i="1"/>
  <c r="P40" i="1"/>
  <c r="Q40" i="1" s="1"/>
  <c r="B41" i="1"/>
  <c r="N41" i="1"/>
  <c r="P41" i="1"/>
  <c r="Q41" i="1" s="1"/>
  <c r="B42" i="1"/>
  <c r="N42" i="1"/>
  <c r="P42" i="1"/>
  <c r="Q42" i="1" s="1"/>
  <c r="B43" i="1"/>
  <c r="N43" i="1"/>
  <c r="P43" i="1"/>
  <c r="Q43" i="1" s="1"/>
  <c r="B44" i="1"/>
  <c r="N44" i="1"/>
  <c r="P44" i="1"/>
  <c r="B46" i="1"/>
  <c r="N46" i="1"/>
  <c r="P46" i="1"/>
  <c r="Q46" i="1" s="1"/>
  <c r="B50" i="1"/>
  <c r="N50" i="1"/>
  <c r="P50" i="1"/>
  <c r="Q50" i="1" s="1"/>
  <c r="B51" i="1"/>
  <c r="N51" i="1"/>
  <c r="P51" i="1"/>
  <c r="Q51" i="1" s="1"/>
  <c r="B52" i="1"/>
  <c r="N52" i="1"/>
  <c r="P52" i="1"/>
  <c r="Q52" i="1" s="1"/>
  <c r="B53" i="1"/>
  <c r="N53" i="1"/>
  <c r="P53" i="1"/>
  <c r="B54" i="1"/>
  <c r="N54" i="1"/>
  <c r="P54" i="1"/>
  <c r="Q54" i="1" s="1"/>
  <c r="B55" i="1"/>
  <c r="N55" i="1"/>
  <c r="P55" i="1"/>
  <c r="Q55" i="1" s="1"/>
  <c r="B58" i="1"/>
  <c r="N58" i="1"/>
  <c r="P58" i="1"/>
  <c r="Q58" i="1" s="1"/>
  <c r="B59" i="1"/>
  <c r="N59" i="1"/>
  <c r="P59" i="1"/>
  <c r="Q59" i="1" s="1"/>
  <c r="B61" i="1"/>
  <c r="N61" i="1"/>
  <c r="P61" i="1"/>
  <c r="Q61" i="1" s="1"/>
  <c r="B62" i="1"/>
  <c r="N62" i="1"/>
  <c r="P62" i="1"/>
  <c r="Q62" i="1" s="1"/>
  <c r="B63" i="1"/>
  <c r="N63" i="1"/>
  <c r="P63" i="1"/>
  <c r="Q63" i="1" s="1"/>
  <c r="B64" i="1"/>
  <c r="N64" i="1"/>
  <c r="P64" i="1"/>
  <c r="Q64" i="1" s="1"/>
  <c r="B65" i="1"/>
  <c r="N65" i="1"/>
  <c r="P65" i="1"/>
  <c r="Q65" i="1" s="1"/>
  <c r="B66" i="1"/>
  <c r="N66" i="1"/>
  <c r="P66" i="1"/>
  <c r="B69" i="1"/>
  <c r="N69" i="1"/>
  <c r="P69" i="1"/>
  <c r="Q69" i="1" s="1"/>
  <c r="B70" i="1"/>
  <c r="N70" i="1"/>
  <c r="P70" i="1"/>
  <c r="Q70" i="1" s="1"/>
  <c r="B71" i="1"/>
  <c r="N71" i="1"/>
  <c r="P71" i="1"/>
  <c r="Q71" i="1" s="1"/>
  <c r="B72" i="1"/>
  <c r="N72" i="1"/>
  <c r="P72" i="1"/>
  <c r="Q72" i="1" s="1"/>
  <c r="B73" i="1"/>
  <c r="N73" i="1"/>
  <c r="P73" i="1"/>
  <c r="Q73" i="1" s="1"/>
  <c r="B74" i="1"/>
  <c r="N74" i="1"/>
  <c r="P74" i="1"/>
  <c r="Q74" i="1" s="1"/>
  <c r="B77" i="1"/>
  <c r="N77" i="1"/>
  <c r="P77" i="1"/>
  <c r="Q77" i="1" s="1"/>
  <c r="B76" i="1"/>
  <c r="N76" i="1"/>
  <c r="P76" i="1"/>
  <c r="Q76" i="1" s="1"/>
  <c r="B78" i="1"/>
  <c r="N78" i="1"/>
  <c r="P78" i="1"/>
  <c r="Q78" i="1" s="1"/>
  <c r="B79" i="1"/>
  <c r="N79" i="1"/>
  <c r="P79" i="1"/>
  <c r="Q79" i="1" s="1"/>
  <c r="B80" i="1"/>
  <c r="N80" i="1"/>
  <c r="P80" i="1"/>
  <c r="Q80" i="1" s="1"/>
  <c r="B81" i="1"/>
  <c r="N81" i="1"/>
  <c r="P81" i="1"/>
  <c r="Q81" i="1" s="1"/>
  <c r="B82" i="1"/>
  <c r="N82" i="1"/>
  <c r="P82" i="1"/>
  <c r="Q82" i="1" s="1"/>
  <c r="B83" i="1"/>
  <c r="N83" i="1"/>
  <c r="P83" i="1"/>
  <c r="Q83" i="1" s="1"/>
  <c r="B86" i="1"/>
  <c r="N86" i="1"/>
  <c r="P86" i="1"/>
  <c r="Q86" i="1" s="1"/>
  <c r="B87" i="1"/>
  <c r="N87" i="1"/>
  <c r="P87" i="1"/>
  <c r="Q87" i="1" s="1"/>
  <c r="B88" i="1"/>
  <c r="N88" i="1"/>
  <c r="P88" i="1"/>
  <c r="Q88" i="1" s="1"/>
  <c r="B89" i="1"/>
  <c r="N89" i="1"/>
  <c r="P89" i="1"/>
  <c r="B90" i="1"/>
  <c r="N90" i="1"/>
  <c r="P90" i="1"/>
  <c r="B91" i="1"/>
  <c r="N91" i="1"/>
  <c r="P91" i="1"/>
  <c r="Q91" i="1" s="1"/>
  <c r="B92" i="1"/>
  <c r="N92" i="1"/>
  <c r="P92" i="1"/>
  <c r="Q92" i="1" s="1"/>
  <c r="B93" i="1"/>
  <c r="N93" i="1"/>
  <c r="P93" i="1"/>
  <c r="Q93" i="1" s="1"/>
  <c r="B94" i="1"/>
  <c r="N94" i="1"/>
  <c r="P94" i="1"/>
  <c r="Q94" i="1" s="1"/>
  <c r="B95" i="1"/>
  <c r="N95" i="1"/>
  <c r="P95" i="1"/>
  <c r="Q95" i="1" s="1"/>
  <c r="B96" i="1"/>
  <c r="N96" i="1"/>
  <c r="P96" i="1"/>
  <c r="Q96" i="1" s="1"/>
  <c r="B97" i="1"/>
  <c r="N97" i="1"/>
  <c r="P97" i="1"/>
  <c r="Q97" i="1" s="1"/>
  <c r="B98" i="1"/>
  <c r="N98" i="1"/>
  <c r="P98" i="1"/>
  <c r="Q98" i="1" s="1"/>
  <c r="B99" i="1"/>
  <c r="N99" i="1"/>
  <c r="P99" i="1"/>
  <c r="Q99" i="1" s="1"/>
  <c r="B103" i="1"/>
  <c r="N103" i="1"/>
  <c r="P103" i="1"/>
  <c r="Q103" i="1" s="1"/>
  <c r="N6" i="1"/>
  <c r="P6" i="1"/>
  <c r="Q6" i="1" s="1"/>
  <c r="N7" i="1"/>
  <c r="P7" i="1"/>
  <c r="N13" i="1"/>
  <c r="P13" i="1"/>
  <c r="Q13" i="1" s="1"/>
  <c r="N14" i="1"/>
  <c r="P14" i="1"/>
  <c r="N15" i="1"/>
  <c r="P15" i="1"/>
  <c r="N16" i="1"/>
  <c r="P16" i="1"/>
  <c r="N19" i="1"/>
  <c r="P19" i="1"/>
  <c r="N21" i="1"/>
  <c r="P21" i="1"/>
  <c r="Q21" i="1" s="1"/>
  <c r="N26" i="1"/>
  <c r="P26" i="1"/>
  <c r="Q26" i="1" s="1"/>
  <c r="N45" i="1"/>
  <c r="P45" i="1"/>
  <c r="Q45" i="1" s="1"/>
  <c r="N47" i="1"/>
  <c r="P47" i="1"/>
  <c r="Q47" i="1" s="1"/>
  <c r="N48" i="1"/>
  <c r="P48" i="1"/>
  <c r="Q48" i="1" s="1"/>
  <c r="N49" i="1"/>
  <c r="P49" i="1"/>
  <c r="Q49" i="1" s="1"/>
  <c r="N56" i="1"/>
  <c r="P56" i="1"/>
  <c r="Q56" i="1" s="1"/>
  <c r="N57" i="1"/>
  <c r="P57" i="1"/>
  <c r="Q57" i="1" s="1"/>
  <c r="N60" i="1"/>
  <c r="P60" i="1"/>
  <c r="N75" i="1"/>
  <c r="P75" i="1"/>
  <c r="Q75" i="1" s="1"/>
  <c r="N84" i="1"/>
  <c r="P84" i="1"/>
  <c r="N85" i="1"/>
  <c r="P85" i="1"/>
  <c r="N100" i="1"/>
  <c r="P100" i="1"/>
  <c r="Q100" i="1" s="1"/>
  <c r="N101" i="1"/>
  <c r="P101" i="1"/>
  <c r="Q101" i="1" s="1"/>
  <c r="N102" i="1"/>
  <c r="P102" i="1"/>
  <c r="B102" i="1"/>
  <c r="B101" i="1"/>
  <c r="B100" i="1"/>
  <c r="B85" i="1"/>
  <c r="B84" i="1"/>
  <c r="B75" i="1"/>
  <c r="B60" i="1"/>
  <c r="B57" i="1"/>
  <c r="B56" i="1"/>
  <c r="B49" i="1"/>
  <c r="B48" i="1"/>
  <c r="B47" i="1"/>
  <c r="B45" i="1"/>
  <c r="B26" i="1"/>
  <c r="B21" i="1"/>
  <c r="B19" i="1"/>
  <c r="B16" i="1"/>
  <c r="B15" i="1"/>
  <c r="B14" i="1"/>
  <c r="B13" i="1"/>
  <c r="B7" i="1"/>
  <c r="B6" i="1"/>
</calcChain>
</file>

<file path=xl/sharedStrings.xml><?xml version="1.0" encoding="utf-8"?>
<sst xmlns="http://schemas.openxmlformats.org/spreadsheetml/2006/main" count="642" uniqueCount="253">
  <si>
    <t>十穀米(1800g)</t>
  </si>
  <si>
    <t>10包/箱</t>
  </si>
  <si>
    <t>17箱0包</t>
  </si>
  <si>
    <t>洛神桂花烏梅飲350ml(方形瓶)350ml/瓶</t>
  </si>
  <si>
    <t>24瓶/箱</t>
  </si>
  <si>
    <t>136箱0瓶</t>
  </si>
  <si>
    <t>439箱0瓶</t>
  </si>
  <si>
    <t>枸杞菊花飲350ml(方形瓶)350ml/瓶</t>
  </si>
  <si>
    <t>231箱0瓶</t>
  </si>
  <si>
    <t>陳年釀梅汁600g</t>
  </si>
  <si>
    <t>12瓶/箱</t>
  </si>
  <si>
    <t>118箱11瓶</t>
  </si>
  <si>
    <t>金花采糖100g</t>
  </si>
  <si>
    <t>6盒/箱</t>
  </si>
  <si>
    <t>47箱0盒</t>
  </si>
  <si>
    <t>美麗果蔓越莓乾200g(袋)</t>
  </si>
  <si>
    <t>12包/箱</t>
  </si>
  <si>
    <t>51箱6包</t>
  </si>
  <si>
    <t>1667箱0包</t>
  </si>
  <si>
    <t>紅寶石葡萄乾380g(罐)</t>
  </si>
  <si>
    <t>12罐/箱</t>
  </si>
  <si>
    <t>176箱0罐</t>
  </si>
  <si>
    <t>1箱0罐</t>
  </si>
  <si>
    <t>金牌黑棗(去籽)300g</t>
  </si>
  <si>
    <t>0箱2包</t>
  </si>
  <si>
    <t>雙采果乾280g(2020版)</t>
  </si>
  <si>
    <t>178箱1包</t>
  </si>
  <si>
    <t>金牌黑棗(去籽)300g(產:加州)</t>
  </si>
  <si>
    <t>1660箱0包</t>
  </si>
  <si>
    <t>1150箱0包</t>
  </si>
  <si>
    <t>2箱0包</t>
  </si>
  <si>
    <t>江戶的蒟蒻禮盒</t>
  </si>
  <si>
    <t>76箱0盒</t>
  </si>
  <si>
    <t>皇家乳酪絲100g</t>
  </si>
  <si>
    <t>29箱1包</t>
  </si>
  <si>
    <t>家仕葡萄籽油1000ml</t>
  </si>
  <si>
    <t>6瓶/箱</t>
  </si>
  <si>
    <t>210箱0瓶</t>
  </si>
  <si>
    <t>苦茶油520ml(康健生機)</t>
  </si>
  <si>
    <t>16箱10瓶</t>
  </si>
  <si>
    <t>印加果油(祕魯)</t>
  </si>
  <si>
    <t>85箱1瓶</t>
  </si>
  <si>
    <t>冰糖600g</t>
  </si>
  <si>
    <t>6包/箱</t>
  </si>
  <si>
    <t>72箱0包</t>
  </si>
  <si>
    <t>冰糖3000g</t>
  </si>
  <si>
    <t>8袋/箱</t>
  </si>
  <si>
    <t>48箱4袋</t>
  </si>
  <si>
    <t>麴本物-釀豆油露400ml(正直村)</t>
  </si>
  <si>
    <t>68箱0瓶</t>
  </si>
  <si>
    <t>生機湖鹽600g(大賣場)</t>
  </si>
  <si>
    <t>61箱2罐</t>
  </si>
  <si>
    <t>家仕料理素G粉150g</t>
  </si>
  <si>
    <t>53箱11罐</t>
  </si>
  <si>
    <t>麴本物－純釀烏醋(康健有機)250m</t>
  </si>
  <si>
    <t>57箱0瓶</t>
  </si>
  <si>
    <t>34箱11瓶</t>
  </si>
  <si>
    <t>野蔬拌醬(康健)380g</t>
  </si>
  <si>
    <t>211箱0瓶</t>
  </si>
  <si>
    <t>香菇拌醬(康健)380g</t>
  </si>
  <si>
    <t>132箱6瓶</t>
  </si>
  <si>
    <t>香椿拌醬(康健)380g</t>
  </si>
  <si>
    <t>80箱8瓶</t>
  </si>
  <si>
    <t>老薑麻油醬(康健生機)250g</t>
  </si>
  <si>
    <t>41箱1罐</t>
  </si>
  <si>
    <t>61箱4罐</t>
  </si>
  <si>
    <t>VITA香鬆300g</t>
  </si>
  <si>
    <t>235箱0包</t>
  </si>
  <si>
    <t>VITA牛蒡香鬆220g</t>
  </si>
  <si>
    <t>112箱3包</t>
  </si>
  <si>
    <t>御香鬆145g(正直村)</t>
  </si>
  <si>
    <t>51箱4包</t>
  </si>
  <si>
    <t>康健生機-甜菜根植物纖奶800g</t>
  </si>
  <si>
    <t>6罐/箱</t>
  </si>
  <si>
    <t>105箱5罐</t>
  </si>
  <si>
    <t>2箱0罐</t>
  </si>
  <si>
    <t>康健生機－甜菜根植物纖奶30g*25</t>
  </si>
  <si>
    <t>65箱2盒</t>
  </si>
  <si>
    <t>28箱0盒</t>
  </si>
  <si>
    <t>三寶粉300g</t>
  </si>
  <si>
    <t>47箱5包</t>
  </si>
  <si>
    <t>小麥胚芽300g</t>
  </si>
  <si>
    <t>95箱0包</t>
  </si>
  <si>
    <t>(NEW)啤酒酵母+大豆卵磷脂(荷蘭)</t>
  </si>
  <si>
    <t>6組/箱</t>
  </si>
  <si>
    <t>1箱0組</t>
  </si>
  <si>
    <t>純濃老薑茶(康健生機)</t>
  </si>
  <si>
    <t>12盒/箱</t>
  </si>
  <si>
    <t>6箱11盒</t>
  </si>
  <si>
    <t>十益菌36綜合穀粉420g</t>
  </si>
  <si>
    <t>24箱11罐</t>
  </si>
  <si>
    <t>八寶五穀粉1500g</t>
  </si>
  <si>
    <t>8包/箱</t>
  </si>
  <si>
    <t>33箱0包</t>
  </si>
  <si>
    <t>康健生機青汁多酚精力飲</t>
  </si>
  <si>
    <t>21箱0盒</t>
  </si>
  <si>
    <t>八寶五穀粉900g(罐)-康健生機</t>
  </si>
  <si>
    <t>50箱3罐</t>
  </si>
  <si>
    <t>純濃鮮豆奶500g(罐)-康健生機</t>
  </si>
  <si>
    <t>79箱9罐</t>
  </si>
  <si>
    <t>波浪麵(蕎麥口味)</t>
  </si>
  <si>
    <t>83箱7包</t>
  </si>
  <si>
    <t>黃金麥燒粉500g</t>
  </si>
  <si>
    <t>14箱8包</t>
  </si>
  <si>
    <t>海帶芽100g</t>
  </si>
  <si>
    <t>60箱4包</t>
  </si>
  <si>
    <t>生機昆布條200g(2021版)</t>
  </si>
  <si>
    <t>180箱1包</t>
  </si>
  <si>
    <t>霸豆子180g-黑豆(罐)</t>
  </si>
  <si>
    <t>53箱0罐</t>
  </si>
  <si>
    <t>草本益氣茶(康健生機)</t>
  </si>
  <si>
    <t>12袋/箱</t>
  </si>
  <si>
    <t>6箱0袋</t>
  </si>
  <si>
    <t>63箱0袋</t>
  </si>
  <si>
    <t>19箱0袋</t>
  </si>
  <si>
    <t>杏仁豆430g</t>
  </si>
  <si>
    <t>28箱0包</t>
  </si>
  <si>
    <t>南杏400g</t>
  </si>
  <si>
    <t>58箱5包</t>
  </si>
  <si>
    <t>七巧珍堅果70g(康健生機)</t>
  </si>
  <si>
    <t>20包/箱</t>
  </si>
  <si>
    <t>171箱14包</t>
  </si>
  <si>
    <t>陽光堅果210g(2020版)</t>
  </si>
  <si>
    <t>25箱9包</t>
  </si>
  <si>
    <t>205箱0包</t>
  </si>
  <si>
    <t>杏仁丁香小魚75g(統健)</t>
  </si>
  <si>
    <t>8包/袋|5袋/箱</t>
  </si>
  <si>
    <t>1箱1袋0包</t>
  </si>
  <si>
    <t>養生綜合堅果仁300g(NEW)</t>
  </si>
  <si>
    <t>10箱0罐</t>
  </si>
  <si>
    <t>80箱0罐</t>
  </si>
  <si>
    <t>特級黃豆種子(10斤)</t>
  </si>
  <si>
    <t>5袋/箱</t>
  </si>
  <si>
    <t>2箱2袋</t>
  </si>
  <si>
    <t>特級黃豆600g</t>
  </si>
  <si>
    <t>16箱0包</t>
  </si>
  <si>
    <t>珍珠薏仁450g</t>
  </si>
  <si>
    <t>10箱0包</t>
  </si>
  <si>
    <t>4箱0包</t>
  </si>
  <si>
    <t>過敏源資訊</t>
  </si>
  <si>
    <t>雪蓮子600g</t>
  </si>
  <si>
    <t>65箱5包</t>
  </si>
  <si>
    <t>黑芝麻粒400g</t>
  </si>
  <si>
    <t>158箱0包</t>
  </si>
  <si>
    <t>燕麥片350g</t>
  </si>
  <si>
    <t>20箱0包</t>
  </si>
  <si>
    <t>糯小米600g</t>
  </si>
  <si>
    <t>7箱0包</t>
  </si>
  <si>
    <t>生機果乾燕麥片640g</t>
  </si>
  <si>
    <t>31箱0罐</t>
  </si>
  <si>
    <t>黑芝麻粉450g(罐)-康健生機</t>
  </si>
  <si>
    <t>52箱8罐</t>
  </si>
  <si>
    <t>雪蓮子麵筋200g</t>
  </si>
  <si>
    <t>24罐/箱</t>
  </si>
  <si>
    <t>41箱2罐</t>
  </si>
  <si>
    <t>雪蓮子麵筋200g(3入/組)</t>
  </si>
  <si>
    <t>8組/箱</t>
  </si>
  <si>
    <t>136箱0組</t>
  </si>
  <si>
    <t>純釀蔭油條瓜170g</t>
  </si>
  <si>
    <t>549箱1瓶</t>
  </si>
  <si>
    <t>酵素源醋600cc</t>
  </si>
  <si>
    <t>99箱0瓶</t>
  </si>
  <si>
    <t>醇‧糙米醋500ml(NEW)</t>
  </si>
  <si>
    <t>139箱11瓶</t>
  </si>
  <si>
    <t>纖維粉200g</t>
  </si>
  <si>
    <t>69箱0包</t>
  </si>
  <si>
    <t>薄荷油8ml(支)</t>
  </si>
  <si>
    <t>24支/盒</t>
  </si>
  <si>
    <t>5盒21支</t>
  </si>
  <si>
    <t>181盒0支</t>
  </si>
  <si>
    <t>2台/箱</t>
  </si>
  <si>
    <t>LAFi空氣清淨機CL-101</t>
  </si>
  <si>
    <t>611箱1台</t>
  </si>
  <si>
    <t>58箱0台</t>
  </si>
  <si>
    <t>極品烏龍300g</t>
  </si>
  <si>
    <t>11箱1盒</t>
  </si>
  <si>
    <t>有機園有機黑木耳膠原飲-300玻24</t>
  </si>
  <si>
    <t>668箱0瓶</t>
  </si>
  <si>
    <t>720箱0瓶</t>
  </si>
  <si>
    <t>有機黑木耳膠原飲X8入禮盒</t>
  </si>
  <si>
    <t>4盒/箱</t>
  </si>
  <si>
    <t>105箱2盒</t>
  </si>
  <si>
    <t>236箱0盒</t>
  </si>
  <si>
    <t>有機純釀醬油300ml(康健生機)</t>
  </si>
  <si>
    <t>62箱3瓶</t>
  </si>
  <si>
    <t>有機黑五寶多穀飲</t>
  </si>
  <si>
    <t>88箱0罐</t>
  </si>
  <si>
    <t>有機杏仁堅果飲</t>
  </si>
  <si>
    <t>102箱3罐</t>
  </si>
  <si>
    <t>有機高筋麵粉500g(康健有機)</t>
  </si>
  <si>
    <t>33箱5包</t>
  </si>
  <si>
    <t>有機全麥麵粉500g(康健有機)</t>
  </si>
  <si>
    <t>4箱3包</t>
  </si>
  <si>
    <t>有機中筋麵粉500g</t>
  </si>
  <si>
    <t>24箱4包</t>
  </si>
  <si>
    <t>有機超大紅棗300g(無附枸杞)</t>
  </si>
  <si>
    <t>3箱0包</t>
  </si>
  <si>
    <t>25箱0包</t>
  </si>
  <si>
    <t>有機黃豆500g(康健有機)</t>
  </si>
  <si>
    <t>73箱0包</t>
  </si>
  <si>
    <t>有機黑芝麻粉280g(康健生機)</t>
  </si>
  <si>
    <t>50箱11罐</t>
  </si>
  <si>
    <t>有機甘栗150g</t>
  </si>
  <si>
    <t>376箱6包</t>
  </si>
  <si>
    <t>有機日曬黑木耳乾70g-康健生機</t>
  </si>
  <si>
    <t>83箱3包</t>
  </si>
  <si>
    <t>有機紅茶</t>
  </si>
  <si>
    <t>78箱9袋</t>
  </si>
  <si>
    <t>燈號</t>
  </si>
  <si>
    <t>庫別</t>
  </si>
  <si>
    <t>庫別名稱</t>
  </si>
  <si>
    <t>品號</t>
    <phoneticPr fontId="2" type="noConversion"/>
  </si>
  <si>
    <t>品名</t>
    <phoneticPr fontId="2" type="noConversion"/>
  </si>
  <si>
    <t>包裝方式</t>
    <phoneticPr fontId="2" type="noConversion"/>
  </si>
  <si>
    <t>庫存數量</t>
    <phoneticPr fontId="2" type="noConversion"/>
  </si>
  <si>
    <t>包裝量</t>
    <phoneticPr fontId="2" type="noConversion"/>
  </si>
  <si>
    <t>安全庫存水位</t>
  </si>
  <si>
    <t>有效期限</t>
    <phoneticPr fontId="2" type="noConversion"/>
  </si>
  <si>
    <t>剩餘有效天數</t>
  </si>
  <si>
    <t>下單批量</t>
  </si>
  <si>
    <t>迴轉率</t>
  </si>
  <si>
    <t>迴轉天數</t>
  </si>
  <si>
    <t>每月均銷量</t>
  </si>
  <si>
    <t>每日均銷量</t>
  </si>
  <si>
    <t>預估幾日售完</t>
  </si>
  <si>
    <t>到貨天數</t>
  </si>
  <si>
    <t>補貨通知</t>
  </si>
  <si>
    <t>製造日期</t>
  </si>
  <si>
    <t>製造後天數</t>
  </si>
  <si>
    <t>六個月賣不完</t>
  </si>
  <si>
    <t>三個月賣不完</t>
  </si>
  <si>
    <t>●</t>
  </si>
  <si>
    <t>百及物流</t>
  </si>
  <si>
    <t>庫存低迴轉</t>
  </si>
  <si>
    <t>低迴轉</t>
  </si>
  <si>
    <t>●</t>
    <phoneticPr fontId="2" type="noConversion"/>
  </si>
  <si>
    <t>是</t>
  </si>
  <si>
    <t>保存期限</t>
    <phoneticPr fontId="2" type="noConversion"/>
  </si>
  <si>
    <t>無下批</t>
    <phoneticPr fontId="2" type="noConversion"/>
  </si>
  <si>
    <t>1年</t>
    <phoneticPr fontId="2" type="noConversion"/>
  </si>
  <si>
    <t>18個月</t>
    <phoneticPr fontId="2" type="noConversion"/>
  </si>
  <si>
    <t>1年</t>
    <phoneticPr fontId="2" type="noConversion"/>
  </si>
  <si>
    <t>8個月</t>
    <phoneticPr fontId="2" type="noConversion"/>
  </si>
  <si>
    <t>1年</t>
    <phoneticPr fontId="2" type="noConversion"/>
  </si>
  <si>
    <t>2年</t>
    <phoneticPr fontId="2" type="noConversion"/>
  </si>
  <si>
    <t>1年</t>
    <phoneticPr fontId="2" type="noConversion"/>
  </si>
  <si>
    <t>1年</t>
    <phoneticPr fontId="2" type="noConversion"/>
  </si>
  <si>
    <t>甜菜根植物奶(屋型)</t>
    <phoneticPr fontId="2" type="noConversion"/>
  </si>
  <si>
    <t>18個月</t>
    <phoneticPr fontId="2" type="noConversion"/>
  </si>
  <si>
    <t>10個月</t>
    <phoneticPr fontId="2" type="noConversion"/>
  </si>
  <si>
    <t>3年</t>
    <phoneticPr fontId="2" type="noConversion"/>
  </si>
  <si>
    <t>5年</t>
    <phoneticPr fontId="2" type="noConversion"/>
  </si>
  <si>
    <t>18個月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</si>
</sst>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B050"/>
      <name val="新細明體"/>
      <family val="2"/>
      <charset val="136"/>
      <scheme val="minor"/>
    </font>
    <font>
      <sz val="12"/>
      <color theme="0" tint="-0.499984740745262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</fills>
  <borders count="2">
    <border>
      <left/>
      <right/>
      <top/>
      <bottom/>
      <diagonal/>
    </border>
    <border diagonalUp="1" diagonalDown="1">
      <left/>
      <right/>
      <top/>
      <bottom/>
      <diagonal style="thin">
        <color indexed="64"/>
      </diagonal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1" xfId="0" applyBorder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103"/>
  <sheetViews>
    <sheetView tabSelected="1" workbookViewId="0">
      <pane xSplit="6" ySplit="1" topLeftCell="R2" activePane="bottomRight" state="frozenSplit"/>
      <selection pane="topRight" activeCell="G1" sqref="G1"/>
      <selection pane="bottomLeft" activeCell="A2" sqref="A2"/>
      <selection pane="bottomRight" activeCell="X13" sqref="X13"/>
    </sheetView>
  </sheetViews>
  <sheetFormatPr defaultRowHeight="16.5" customHeight="1" x14ac:dyDescent="0.25"/>
  <cols>
    <col min="1" max="1" width="4.125" customWidth="1"/>
    <col min="2" max="2" width="5.375" hidden="1" customWidth="1"/>
    <col min="3" max="3" width="8.625" hidden="1" customWidth="1"/>
    <col min="4" max="4" width="9.375" customWidth="1"/>
    <col min="5" max="5" width="35" customWidth="1"/>
    <col min="6" max="6" width="10.5" hidden="1" customWidth="1"/>
    <col min="7" max="7" width="8.125" hidden="1" customWidth="1"/>
    <col min="8" max="8" width="9" hidden="1" customWidth="1"/>
    <col min="9" max="9" width="0" hidden="1" customWidth="1"/>
    <col min="10" max="10" width="10.75" hidden="1" customWidth="1"/>
    <col min="11" max="11" width="14.875" hidden="1" customWidth="1"/>
    <col min="12" max="12" width="12.125" hidden="1" customWidth="1"/>
    <col min="13" max="14" width="0" hidden="1" customWidth="1"/>
    <col min="15" max="15" width="10.875" hidden="1" customWidth="1"/>
    <col min="16" max="16" width="10" hidden="1" customWidth="1"/>
    <col min="17" max="17" width="12.5" hidden="1" customWidth="1"/>
    <col min="19" max="19" width="8.5" style="2" hidden="1" customWidth="1"/>
    <col min="20" max="20" width="10.125" hidden="1" customWidth="1"/>
    <col min="21" max="21" width="10.5" hidden="1" customWidth="1"/>
    <col min="22" max="23" width="12.625" style="2" hidden="1" customWidth="1"/>
  </cols>
  <sheetData>
    <row r="1" spans="1:25" ht="16.5" customHeight="1" x14ac:dyDescent="0.25">
      <c r="A1" s="4" t="s">
        <v>208</v>
      </c>
      <c r="B1" s="4" t="s">
        <v>209</v>
      </c>
      <c r="C1" s="4" t="s">
        <v>210</v>
      </c>
      <c r="D1" s="4" t="s">
        <v>211</v>
      </c>
      <c r="E1" s="4" t="s">
        <v>212</v>
      </c>
      <c r="F1" s="4" t="s">
        <v>213</v>
      </c>
      <c r="G1" s="4" t="s">
        <v>214</v>
      </c>
      <c r="H1" s="4" t="s">
        <v>215</v>
      </c>
      <c r="I1" s="4" t="s">
        <v>216</v>
      </c>
      <c r="J1" s="4" t="s">
        <v>217</v>
      </c>
      <c r="K1" s="4" t="s">
        <v>218</v>
      </c>
      <c r="L1" s="4" t="s">
        <v>219</v>
      </c>
      <c r="M1" s="4" t="s">
        <v>220</v>
      </c>
      <c r="N1" s="4" t="s">
        <v>221</v>
      </c>
      <c r="O1" s="4" t="s">
        <v>222</v>
      </c>
      <c r="P1" s="4" t="s">
        <v>223</v>
      </c>
      <c r="Q1" s="4" t="s">
        <v>224</v>
      </c>
      <c r="R1" s="4" t="s">
        <v>225</v>
      </c>
      <c r="S1" s="4" t="s">
        <v>226</v>
      </c>
      <c r="T1" s="4" t="s">
        <v>227</v>
      </c>
      <c r="U1" s="4" t="s">
        <v>228</v>
      </c>
      <c r="V1" s="4" t="s">
        <v>229</v>
      </c>
      <c r="W1" s="4" t="s">
        <v>230</v>
      </c>
      <c r="X1" s="4" t="s">
        <v>237</v>
      </c>
    </row>
    <row r="2" spans="1:25" ht="16.5" customHeight="1" x14ac:dyDescent="0.25">
      <c r="A2" s="3" t="s">
        <v>231</v>
      </c>
      <c r="B2" t="str">
        <f t="shared" ref="B2:B33" si="0">"01999"</f>
        <v>01999</v>
      </c>
      <c r="C2" t="s">
        <v>232</v>
      </c>
      <c r="D2">
        <v>10903004</v>
      </c>
      <c r="E2" t="s">
        <v>0</v>
      </c>
      <c r="F2" t="s">
        <v>1</v>
      </c>
      <c r="G2">
        <v>170</v>
      </c>
      <c r="H2" t="s">
        <v>2</v>
      </c>
      <c r="J2" s="1">
        <v>44841</v>
      </c>
      <c r="K2">
        <v>255</v>
      </c>
      <c r="M2">
        <v>0</v>
      </c>
      <c r="N2">
        <f t="shared" ref="N2:N33" si="1">ROUND(M2/30,0)</f>
        <v>0</v>
      </c>
      <c r="P2">
        <f t="shared" ref="P2:P33" si="2">ROUND(O2/30,0)</f>
        <v>0</v>
      </c>
      <c r="Q2">
        <v>0</v>
      </c>
      <c r="R2">
        <v>18</v>
      </c>
      <c r="S2" s="2" t="s">
        <v>236</v>
      </c>
      <c r="T2" s="1"/>
      <c r="X2" t="s">
        <v>239</v>
      </c>
    </row>
    <row r="3" spans="1:25" ht="16.5" hidden="1" customHeight="1" x14ac:dyDescent="0.25">
      <c r="A3" s="3" t="s">
        <v>231</v>
      </c>
      <c r="B3" t="str">
        <f t="shared" si="0"/>
        <v>01999</v>
      </c>
      <c r="C3" t="s">
        <v>232</v>
      </c>
      <c r="D3">
        <v>11103035</v>
      </c>
      <c r="E3" t="s">
        <v>3</v>
      </c>
      <c r="F3" t="s">
        <v>4</v>
      </c>
      <c r="G3">
        <v>3264</v>
      </c>
      <c r="H3" t="s">
        <v>5</v>
      </c>
      <c r="J3" s="1">
        <v>44776</v>
      </c>
      <c r="K3">
        <v>190</v>
      </c>
      <c r="L3">
        <v>24000</v>
      </c>
      <c r="M3">
        <v>851</v>
      </c>
      <c r="N3">
        <f t="shared" si="1"/>
        <v>28</v>
      </c>
      <c r="O3">
        <v>5409</v>
      </c>
      <c r="P3">
        <f t="shared" si="2"/>
        <v>180</v>
      </c>
      <c r="Q3">
        <f>ROUND(G3/P3,0)</f>
        <v>18</v>
      </c>
      <c r="R3">
        <v>30</v>
      </c>
      <c r="T3" s="1">
        <v>44411</v>
      </c>
      <c r="U3">
        <v>175</v>
      </c>
      <c r="W3" s="2" t="s">
        <v>233</v>
      </c>
    </row>
    <row r="4" spans="1:25" ht="16.5" hidden="1" customHeight="1" x14ac:dyDescent="0.25">
      <c r="A4" s="5" t="s">
        <v>231</v>
      </c>
      <c r="B4" t="str">
        <f t="shared" si="0"/>
        <v>01999</v>
      </c>
      <c r="C4" t="s">
        <v>232</v>
      </c>
      <c r="D4">
        <v>11103035</v>
      </c>
      <c r="E4" t="s">
        <v>3</v>
      </c>
      <c r="F4" t="s">
        <v>4</v>
      </c>
      <c r="G4">
        <v>10536</v>
      </c>
      <c r="H4" t="s">
        <v>6</v>
      </c>
      <c r="J4" s="1">
        <v>44901</v>
      </c>
      <c r="K4">
        <v>315</v>
      </c>
      <c r="L4">
        <v>24000</v>
      </c>
      <c r="M4">
        <v>851</v>
      </c>
      <c r="N4">
        <f t="shared" si="1"/>
        <v>28</v>
      </c>
      <c r="O4">
        <v>5409</v>
      </c>
      <c r="P4">
        <f t="shared" si="2"/>
        <v>180</v>
      </c>
      <c r="Q4">
        <f>ROUND(G4/P4,0)</f>
        <v>59</v>
      </c>
      <c r="R4">
        <v>30</v>
      </c>
      <c r="T4" s="1">
        <v>44536</v>
      </c>
      <c r="U4">
        <v>50</v>
      </c>
    </row>
    <row r="5" spans="1:25" ht="16.5" hidden="1" customHeight="1" x14ac:dyDescent="0.25">
      <c r="A5" s="3" t="s">
        <v>231</v>
      </c>
      <c r="B5" t="str">
        <f t="shared" si="0"/>
        <v>01999</v>
      </c>
      <c r="C5" t="s">
        <v>232</v>
      </c>
      <c r="D5">
        <v>11103036</v>
      </c>
      <c r="E5" t="s">
        <v>7</v>
      </c>
      <c r="F5" t="s">
        <v>4</v>
      </c>
      <c r="G5">
        <v>5544</v>
      </c>
      <c r="H5" t="s">
        <v>8</v>
      </c>
      <c r="J5" s="1">
        <v>44872</v>
      </c>
      <c r="K5">
        <v>286</v>
      </c>
      <c r="L5">
        <v>24000</v>
      </c>
      <c r="M5">
        <v>465</v>
      </c>
      <c r="N5">
        <f t="shared" si="1"/>
        <v>16</v>
      </c>
      <c r="O5">
        <v>9801</v>
      </c>
      <c r="P5">
        <f t="shared" si="2"/>
        <v>327</v>
      </c>
      <c r="Q5">
        <f>ROUND(G5/P5,0)</f>
        <v>17</v>
      </c>
      <c r="R5">
        <v>30</v>
      </c>
      <c r="S5" s="2" t="s">
        <v>236</v>
      </c>
      <c r="T5" s="1">
        <v>44507</v>
      </c>
      <c r="U5">
        <v>79</v>
      </c>
    </row>
    <row r="6" spans="1:25" ht="16.5" customHeight="1" x14ac:dyDescent="0.25">
      <c r="A6" s="5" t="s">
        <v>231</v>
      </c>
      <c r="B6" t="str">
        <f t="shared" si="0"/>
        <v>01999</v>
      </c>
      <c r="C6" t="s">
        <v>232</v>
      </c>
      <c r="D6">
        <v>11104019</v>
      </c>
      <c r="E6" t="s">
        <v>9</v>
      </c>
      <c r="F6" t="s">
        <v>10</v>
      </c>
      <c r="G6">
        <v>1427</v>
      </c>
      <c r="H6" t="s">
        <v>11</v>
      </c>
      <c r="J6" s="1">
        <v>45359</v>
      </c>
      <c r="K6">
        <v>773</v>
      </c>
      <c r="M6">
        <v>0</v>
      </c>
      <c r="N6">
        <f t="shared" si="1"/>
        <v>0</v>
      </c>
      <c r="O6">
        <v>184</v>
      </c>
      <c r="P6">
        <f t="shared" si="2"/>
        <v>6</v>
      </c>
      <c r="Q6">
        <f>ROUND(G6/P6,0)</f>
        <v>238</v>
      </c>
      <c r="R6" s="7"/>
      <c r="T6" s="1">
        <v>44264</v>
      </c>
      <c r="U6">
        <v>322</v>
      </c>
      <c r="V6" s="2" t="s">
        <v>234</v>
      </c>
      <c r="X6" s="7"/>
      <c r="Y6" t="s">
        <v>238</v>
      </c>
    </row>
    <row r="7" spans="1:25" ht="16.5" customHeight="1" x14ac:dyDescent="0.25">
      <c r="A7" s="3" t="s">
        <v>231</v>
      </c>
      <c r="B7" t="str">
        <f t="shared" si="0"/>
        <v>01999</v>
      </c>
      <c r="C7" t="s">
        <v>232</v>
      </c>
      <c r="D7">
        <v>11303022</v>
      </c>
      <c r="E7" t="s">
        <v>12</v>
      </c>
      <c r="F7" t="s">
        <v>13</v>
      </c>
      <c r="G7">
        <v>282</v>
      </c>
      <c r="H7" t="s">
        <v>14</v>
      </c>
      <c r="J7" s="1">
        <v>45092</v>
      </c>
      <c r="K7">
        <v>506</v>
      </c>
      <c r="M7">
        <v>0</v>
      </c>
      <c r="N7">
        <f t="shared" si="1"/>
        <v>0</v>
      </c>
      <c r="P7">
        <f t="shared" si="2"/>
        <v>0</v>
      </c>
      <c r="Q7">
        <v>0</v>
      </c>
      <c r="R7">
        <v>40</v>
      </c>
      <c r="S7" s="2" t="s">
        <v>236</v>
      </c>
      <c r="X7" t="s">
        <v>240</v>
      </c>
    </row>
    <row r="8" spans="1:25" ht="16.5" hidden="1" customHeight="1" x14ac:dyDescent="0.25">
      <c r="A8" s="3" t="s">
        <v>231</v>
      </c>
      <c r="B8" t="str">
        <f t="shared" si="0"/>
        <v>01999</v>
      </c>
      <c r="C8" t="s">
        <v>232</v>
      </c>
      <c r="D8">
        <v>11304007</v>
      </c>
      <c r="E8" t="s">
        <v>15</v>
      </c>
      <c r="F8" t="s">
        <v>16</v>
      </c>
      <c r="G8">
        <v>618</v>
      </c>
      <c r="H8" t="s">
        <v>17</v>
      </c>
      <c r="J8" s="1">
        <v>44904</v>
      </c>
      <c r="K8">
        <v>318</v>
      </c>
      <c r="L8">
        <v>20000</v>
      </c>
      <c r="M8">
        <v>310</v>
      </c>
      <c r="N8">
        <f t="shared" si="1"/>
        <v>10</v>
      </c>
      <c r="O8">
        <v>12446</v>
      </c>
      <c r="P8">
        <f t="shared" si="2"/>
        <v>415</v>
      </c>
      <c r="Q8">
        <f t="shared" ref="Q8:Q13" si="3">ROUND(G8/P8,0)</f>
        <v>1</v>
      </c>
      <c r="R8">
        <v>25</v>
      </c>
      <c r="T8" s="1">
        <v>44539</v>
      </c>
      <c r="U8">
        <v>47</v>
      </c>
    </row>
    <row r="9" spans="1:25" ht="16.5" hidden="1" customHeight="1" x14ac:dyDescent="0.25">
      <c r="A9" s="5" t="s">
        <v>231</v>
      </c>
      <c r="B9" t="str">
        <f t="shared" si="0"/>
        <v>01999</v>
      </c>
      <c r="C9" t="s">
        <v>232</v>
      </c>
      <c r="D9">
        <v>11304007</v>
      </c>
      <c r="E9" t="s">
        <v>15</v>
      </c>
      <c r="F9" t="s">
        <v>16</v>
      </c>
      <c r="G9">
        <v>20004</v>
      </c>
      <c r="H9" t="s">
        <v>18</v>
      </c>
      <c r="J9" s="1">
        <v>44935</v>
      </c>
      <c r="K9">
        <v>349</v>
      </c>
      <c r="L9">
        <v>20000</v>
      </c>
      <c r="M9">
        <v>310</v>
      </c>
      <c r="N9">
        <f t="shared" si="1"/>
        <v>10</v>
      </c>
      <c r="O9">
        <v>12446</v>
      </c>
      <c r="P9">
        <f t="shared" si="2"/>
        <v>415</v>
      </c>
      <c r="Q9">
        <f t="shared" si="3"/>
        <v>48</v>
      </c>
      <c r="R9">
        <v>25</v>
      </c>
      <c r="T9" s="1">
        <v>44570</v>
      </c>
      <c r="U9">
        <v>16</v>
      </c>
    </row>
    <row r="10" spans="1:25" ht="16.5" hidden="1" customHeight="1" x14ac:dyDescent="0.25">
      <c r="A10" s="5" t="s">
        <v>231</v>
      </c>
      <c r="B10" t="str">
        <f t="shared" si="0"/>
        <v>01999</v>
      </c>
      <c r="C10" t="s">
        <v>232</v>
      </c>
      <c r="D10">
        <v>11304019</v>
      </c>
      <c r="E10" t="s">
        <v>19</v>
      </c>
      <c r="F10" t="s">
        <v>20</v>
      </c>
      <c r="G10">
        <v>2112</v>
      </c>
      <c r="H10" t="s">
        <v>21</v>
      </c>
      <c r="J10" s="1">
        <v>44884</v>
      </c>
      <c r="K10">
        <v>298</v>
      </c>
      <c r="M10">
        <v>0</v>
      </c>
      <c r="N10">
        <f t="shared" si="1"/>
        <v>0</v>
      </c>
      <c r="O10">
        <v>899</v>
      </c>
      <c r="P10">
        <f t="shared" si="2"/>
        <v>30</v>
      </c>
      <c r="Q10">
        <f t="shared" si="3"/>
        <v>70</v>
      </c>
      <c r="R10">
        <v>25</v>
      </c>
      <c r="T10" s="1">
        <v>44584</v>
      </c>
      <c r="U10">
        <v>2</v>
      </c>
    </row>
    <row r="11" spans="1:25" ht="16.5" hidden="1" customHeight="1" x14ac:dyDescent="0.25">
      <c r="A11" s="3" t="s">
        <v>231</v>
      </c>
      <c r="B11" t="str">
        <f t="shared" si="0"/>
        <v>01999</v>
      </c>
      <c r="C11" t="s">
        <v>232</v>
      </c>
      <c r="D11">
        <v>11304019</v>
      </c>
      <c r="E11" t="s">
        <v>19</v>
      </c>
      <c r="F11" t="s">
        <v>20</v>
      </c>
      <c r="G11">
        <v>12</v>
      </c>
      <c r="H11" t="s">
        <v>22</v>
      </c>
      <c r="J11" s="1">
        <v>44884</v>
      </c>
      <c r="K11">
        <v>298</v>
      </c>
      <c r="M11">
        <v>0</v>
      </c>
      <c r="N11">
        <f t="shared" si="1"/>
        <v>0</v>
      </c>
      <c r="O11">
        <v>899</v>
      </c>
      <c r="P11">
        <f t="shared" si="2"/>
        <v>30</v>
      </c>
      <c r="Q11">
        <f t="shared" si="3"/>
        <v>0</v>
      </c>
      <c r="R11">
        <v>25</v>
      </c>
      <c r="T11" s="1">
        <v>44584</v>
      </c>
      <c r="U11">
        <v>2</v>
      </c>
    </row>
    <row r="12" spans="1:25" ht="16.5" hidden="1" customHeight="1" x14ac:dyDescent="0.25">
      <c r="A12" s="3" t="s">
        <v>231</v>
      </c>
      <c r="B12" t="str">
        <f t="shared" si="0"/>
        <v>01999</v>
      </c>
      <c r="C12" t="s">
        <v>232</v>
      </c>
      <c r="D12">
        <v>11304227</v>
      </c>
      <c r="E12" t="s">
        <v>23</v>
      </c>
      <c r="F12" t="s">
        <v>16</v>
      </c>
      <c r="G12">
        <v>2</v>
      </c>
      <c r="H12" t="s">
        <v>24</v>
      </c>
      <c r="J12" s="1">
        <v>44893</v>
      </c>
      <c r="K12">
        <v>307</v>
      </c>
      <c r="M12">
        <v>0</v>
      </c>
      <c r="N12">
        <f t="shared" si="1"/>
        <v>0</v>
      </c>
      <c r="O12">
        <v>17151</v>
      </c>
      <c r="P12">
        <f t="shared" si="2"/>
        <v>572</v>
      </c>
      <c r="Q12">
        <f t="shared" si="3"/>
        <v>0</v>
      </c>
      <c r="R12">
        <v>25</v>
      </c>
      <c r="S12" s="2" t="s">
        <v>236</v>
      </c>
      <c r="T12" s="1">
        <v>44528</v>
      </c>
      <c r="U12">
        <v>58</v>
      </c>
    </row>
    <row r="13" spans="1:25" ht="16.5" customHeight="1" x14ac:dyDescent="0.25">
      <c r="A13" s="5" t="s">
        <v>231</v>
      </c>
      <c r="B13" t="str">
        <f t="shared" si="0"/>
        <v>01999</v>
      </c>
      <c r="C13" t="s">
        <v>232</v>
      </c>
      <c r="D13">
        <v>11304279</v>
      </c>
      <c r="E13" t="s">
        <v>25</v>
      </c>
      <c r="F13" t="s">
        <v>16</v>
      </c>
      <c r="G13">
        <v>2137</v>
      </c>
      <c r="H13" t="s">
        <v>26</v>
      </c>
      <c r="J13" s="1">
        <v>44995</v>
      </c>
      <c r="K13">
        <v>409</v>
      </c>
      <c r="M13">
        <v>0</v>
      </c>
      <c r="N13">
        <f t="shared" si="1"/>
        <v>0</v>
      </c>
      <c r="O13">
        <v>254</v>
      </c>
      <c r="P13">
        <f t="shared" si="2"/>
        <v>8</v>
      </c>
      <c r="Q13">
        <f t="shared" si="3"/>
        <v>267</v>
      </c>
      <c r="R13">
        <v>40</v>
      </c>
      <c r="T13" s="1">
        <v>44575</v>
      </c>
      <c r="U13">
        <v>11</v>
      </c>
      <c r="X13" s="7"/>
    </row>
    <row r="14" spans="1:25" ht="16.5" customHeight="1" x14ac:dyDescent="0.25">
      <c r="A14" s="3" t="s">
        <v>231</v>
      </c>
      <c r="B14" t="str">
        <f t="shared" si="0"/>
        <v>01999</v>
      </c>
      <c r="C14" t="s">
        <v>232</v>
      </c>
      <c r="D14">
        <v>11304296</v>
      </c>
      <c r="E14" t="s">
        <v>27</v>
      </c>
      <c r="F14" t="s">
        <v>16</v>
      </c>
      <c r="G14">
        <v>19920</v>
      </c>
      <c r="H14" t="s">
        <v>28</v>
      </c>
      <c r="J14" s="1">
        <v>44924</v>
      </c>
      <c r="K14">
        <v>338</v>
      </c>
      <c r="M14">
        <v>0</v>
      </c>
      <c r="N14">
        <f t="shared" si="1"/>
        <v>0</v>
      </c>
      <c r="P14">
        <f t="shared" si="2"/>
        <v>0</v>
      </c>
      <c r="Q14">
        <v>0</v>
      </c>
      <c r="R14">
        <v>25</v>
      </c>
      <c r="S14" s="2" t="s">
        <v>236</v>
      </c>
      <c r="X14" t="s">
        <v>241</v>
      </c>
    </row>
    <row r="15" spans="1:25" ht="16.5" hidden="1" customHeight="1" x14ac:dyDescent="0.25">
      <c r="A15" s="3" t="s">
        <v>231</v>
      </c>
      <c r="B15" t="str">
        <f t="shared" si="0"/>
        <v>01999</v>
      </c>
      <c r="C15" t="s">
        <v>232</v>
      </c>
      <c r="D15">
        <v>11304296</v>
      </c>
      <c r="E15" t="s">
        <v>27</v>
      </c>
      <c r="F15" t="s">
        <v>16</v>
      </c>
      <c r="G15">
        <v>13800</v>
      </c>
      <c r="H15" t="s">
        <v>29</v>
      </c>
      <c r="J15" s="1">
        <v>44942</v>
      </c>
      <c r="K15">
        <v>356</v>
      </c>
      <c r="M15">
        <v>0</v>
      </c>
      <c r="N15">
        <f t="shared" si="1"/>
        <v>0</v>
      </c>
      <c r="P15">
        <f t="shared" si="2"/>
        <v>0</v>
      </c>
      <c r="Q15">
        <v>0</v>
      </c>
      <c r="S15" s="2" t="s">
        <v>236</v>
      </c>
    </row>
    <row r="16" spans="1:25" ht="16.5" hidden="1" customHeight="1" x14ac:dyDescent="0.25">
      <c r="A16" s="3" t="s">
        <v>231</v>
      </c>
      <c r="B16" t="str">
        <f t="shared" si="0"/>
        <v>01999</v>
      </c>
      <c r="C16" t="s">
        <v>232</v>
      </c>
      <c r="D16">
        <v>11304296</v>
      </c>
      <c r="E16" t="s">
        <v>27</v>
      </c>
      <c r="F16" t="s">
        <v>16</v>
      </c>
      <c r="G16">
        <v>24</v>
      </c>
      <c r="H16" t="s">
        <v>30</v>
      </c>
      <c r="J16" s="1">
        <v>44942</v>
      </c>
      <c r="K16">
        <v>356</v>
      </c>
      <c r="M16">
        <v>0</v>
      </c>
      <c r="N16">
        <f t="shared" si="1"/>
        <v>0</v>
      </c>
      <c r="P16">
        <f t="shared" si="2"/>
        <v>0</v>
      </c>
      <c r="Q16">
        <v>0</v>
      </c>
      <c r="S16" s="2" t="s">
        <v>236</v>
      </c>
    </row>
    <row r="17" spans="1:25" ht="16.5" hidden="1" customHeight="1" x14ac:dyDescent="0.25">
      <c r="A17" s="3" t="s">
        <v>231</v>
      </c>
      <c r="B17" t="str">
        <f t="shared" si="0"/>
        <v>01999</v>
      </c>
      <c r="C17" t="s">
        <v>232</v>
      </c>
      <c r="D17">
        <v>11305016</v>
      </c>
      <c r="E17" t="s">
        <v>31</v>
      </c>
      <c r="F17" t="s">
        <v>13</v>
      </c>
      <c r="G17">
        <v>456</v>
      </c>
      <c r="H17" t="s">
        <v>32</v>
      </c>
      <c r="J17" s="1">
        <v>44868</v>
      </c>
      <c r="K17">
        <v>282</v>
      </c>
      <c r="M17">
        <v>0</v>
      </c>
      <c r="N17">
        <f t="shared" si="1"/>
        <v>0</v>
      </c>
      <c r="O17">
        <v>1077</v>
      </c>
      <c r="P17">
        <f t="shared" si="2"/>
        <v>36</v>
      </c>
      <c r="Q17">
        <f>ROUND(G17/P17,0)</f>
        <v>13</v>
      </c>
      <c r="R17">
        <v>25</v>
      </c>
      <c r="S17" s="2" t="s">
        <v>236</v>
      </c>
      <c r="T17" s="1">
        <v>44568</v>
      </c>
      <c r="U17">
        <v>18</v>
      </c>
    </row>
    <row r="18" spans="1:25" ht="16.5" customHeight="1" x14ac:dyDescent="0.25">
      <c r="A18" s="5" t="s">
        <v>231</v>
      </c>
      <c r="B18" t="str">
        <f t="shared" si="0"/>
        <v>01999</v>
      </c>
      <c r="C18" t="s">
        <v>232</v>
      </c>
      <c r="D18">
        <v>11308001</v>
      </c>
      <c r="E18" t="s">
        <v>33</v>
      </c>
      <c r="F18" t="s">
        <v>16</v>
      </c>
      <c r="G18">
        <v>349</v>
      </c>
      <c r="H18" t="s">
        <v>34</v>
      </c>
      <c r="J18" s="1">
        <v>44742</v>
      </c>
      <c r="K18">
        <v>156</v>
      </c>
      <c r="M18">
        <v>0</v>
      </c>
      <c r="N18">
        <f t="shared" si="1"/>
        <v>0</v>
      </c>
      <c r="O18">
        <v>171</v>
      </c>
      <c r="P18">
        <f t="shared" si="2"/>
        <v>6</v>
      </c>
      <c r="Q18">
        <f>ROUND(G18/P18,0)</f>
        <v>58</v>
      </c>
      <c r="R18">
        <v>30</v>
      </c>
      <c r="X18" t="s">
        <v>242</v>
      </c>
    </row>
    <row r="19" spans="1:25" ht="16.5" customHeight="1" x14ac:dyDescent="0.25">
      <c r="A19" s="3" t="s">
        <v>231</v>
      </c>
      <c r="B19" t="str">
        <f t="shared" si="0"/>
        <v>01999</v>
      </c>
      <c r="C19" t="s">
        <v>232</v>
      </c>
      <c r="D19">
        <v>11402003</v>
      </c>
      <c r="E19" t="s">
        <v>35</v>
      </c>
      <c r="F19" t="s">
        <v>36</v>
      </c>
      <c r="G19">
        <v>1260</v>
      </c>
      <c r="H19" t="s">
        <v>37</v>
      </c>
      <c r="J19" s="1">
        <v>44962</v>
      </c>
      <c r="K19">
        <v>376</v>
      </c>
      <c r="M19">
        <v>0</v>
      </c>
      <c r="N19">
        <f t="shared" si="1"/>
        <v>0</v>
      </c>
      <c r="P19">
        <f t="shared" si="2"/>
        <v>0</v>
      </c>
      <c r="Q19">
        <v>0</v>
      </c>
      <c r="R19">
        <v>60</v>
      </c>
      <c r="S19" s="2" t="s">
        <v>236</v>
      </c>
      <c r="X19" t="s">
        <v>240</v>
      </c>
    </row>
    <row r="20" spans="1:25" ht="16.5" customHeight="1" x14ac:dyDescent="0.25">
      <c r="A20" s="3" t="s">
        <v>231</v>
      </c>
      <c r="B20" t="str">
        <f t="shared" si="0"/>
        <v>01999</v>
      </c>
      <c r="C20" t="s">
        <v>232</v>
      </c>
      <c r="D20">
        <v>11407001</v>
      </c>
      <c r="E20" t="s">
        <v>38</v>
      </c>
      <c r="F20" t="s">
        <v>10</v>
      </c>
      <c r="G20">
        <v>202</v>
      </c>
      <c r="H20" t="s">
        <v>39</v>
      </c>
      <c r="J20" s="1">
        <v>44921</v>
      </c>
      <c r="K20">
        <v>335</v>
      </c>
      <c r="M20">
        <v>0</v>
      </c>
      <c r="N20">
        <f t="shared" si="1"/>
        <v>0</v>
      </c>
      <c r="O20">
        <v>223</v>
      </c>
      <c r="P20">
        <f t="shared" si="2"/>
        <v>7</v>
      </c>
      <c r="Q20">
        <f t="shared" ref="Q20:Q35" si="4">ROUND(G20/P20,0)</f>
        <v>29</v>
      </c>
      <c r="R20">
        <v>20</v>
      </c>
      <c r="S20" s="2" t="s">
        <v>236</v>
      </c>
      <c r="X20" t="s">
        <v>243</v>
      </c>
    </row>
    <row r="21" spans="1:25" ht="16.5" customHeight="1" x14ac:dyDescent="0.25">
      <c r="A21" s="5" t="s">
        <v>231</v>
      </c>
      <c r="B21" t="str">
        <f t="shared" si="0"/>
        <v>01999</v>
      </c>
      <c r="C21" t="s">
        <v>232</v>
      </c>
      <c r="D21">
        <v>11408009</v>
      </c>
      <c r="E21" t="s">
        <v>40</v>
      </c>
      <c r="F21" t="s">
        <v>36</v>
      </c>
      <c r="G21">
        <v>511</v>
      </c>
      <c r="H21" t="s">
        <v>41</v>
      </c>
      <c r="J21" s="1">
        <v>45031</v>
      </c>
      <c r="K21">
        <v>445</v>
      </c>
      <c r="M21">
        <v>0</v>
      </c>
      <c r="N21">
        <f t="shared" si="1"/>
        <v>0</v>
      </c>
      <c r="O21">
        <v>214</v>
      </c>
      <c r="P21">
        <f t="shared" si="2"/>
        <v>7</v>
      </c>
      <c r="Q21">
        <f t="shared" si="4"/>
        <v>73</v>
      </c>
      <c r="R21" s="7"/>
      <c r="T21" s="1">
        <v>44301</v>
      </c>
      <c r="U21">
        <v>285</v>
      </c>
      <c r="V21" s="2" t="s">
        <v>234</v>
      </c>
      <c r="X21" s="7"/>
      <c r="Y21" t="s">
        <v>238</v>
      </c>
    </row>
    <row r="22" spans="1:25" ht="16.5" hidden="1" customHeight="1" x14ac:dyDescent="0.25">
      <c r="A22" s="3" t="s">
        <v>231</v>
      </c>
      <c r="B22" t="str">
        <f t="shared" si="0"/>
        <v>01999</v>
      </c>
      <c r="C22" t="s">
        <v>232</v>
      </c>
      <c r="D22">
        <v>11501007</v>
      </c>
      <c r="E22" t="s">
        <v>42</v>
      </c>
      <c r="F22" t="s">
        <v>43</v>
      </c>
      <c r="G22">
        <v>432</v>
      </c>
      <c r="H22" t="s">
        <v>44</v>
      </c>
      <c r="J22" s="1">
        <v>44895</v>
      </c>
      <c r="K22">
        <v>309</v>
      </c>
      <c r="M22">
        <v>0</v>
      </c>
      <c r="N22">
        <f t="shared" si="1"/>
        <v>0</v>
      </c>
      <c r="O22">
        <v>382</v>
      </c>
      <c r="P22">
        <f t="shared" si="2"/>
        <v>13</v>
      </c>
      <c r="Q22">
        <f t="shared" si="4"/>
        <v>33</v>
      </c>
      <c r="R22">
        <v>25</v>
      </c>
      <c r="S22" s="2" t="s">
        <v>236</v>
      </c>
      <c r="T22" s="1">
        <v>44530</v>
      </c>
      <c r="U22">
        <v>56</v>
      </c>
    </row>
    <row r="23" spans="1:25" ht="16.5" customHeight="1" x14ac:dyDescent="0.25">
      <c r="A23" s="5" t="s">
        <v>231</v>
      </c>
      <c r="B23" t="str">
        <f t="shared" si="0"/>
        <v>01999</v>
      </c>
      <c r="C23" t="s">
        <v>232</v>
      </c>
      <c r="D23">
        <v>11501018</v>
      </c>
      <c r="E23" t="s">
        <v>45</v>
      </c>
      <c r="F23" t="s">
        <v>46</v>
      </c>
      <c r="G23">
        <v>388</v>
      </c>
      <c r="H23" t="s">
        <v>47</v>
      </c>
      <c r="J23" s="1">
        <v>44867</v>
      </c>
      <c r="K23">
        <v>281</v>
      </c>
      <c r="M23">
        <v>0</v>
      </c>
      <c r="N23">
        <f t="shared" si="1"/>
        <v>0</v>
      </c>
      <c r="O23">
        <v>192</v>
      </c>
      <c r="P23">
        <f t="shared" si="2"/>
        <v>6</v>
      </c>
      <c r="Q23">
        <f t="shared" si="4"/>
        <v>65</v>
      </c>
      <c r="R23">
        <v>25</v>
      </c>
      <c r="X23" t="s">
        <v>239</v>
      </c>
    </row>
    <row r="24" spans="1:25" ht="16.5" customHeight="1" x14ac:dyDescent="0.25">
      <c r="A24" s="3" t="s">
        <v>231</v>
      </c>
      <c r="B24" t="str">
        <f t="shared" si="0"/>
        <v>01999</v>
      </c>
      <c r="C24" t="s">
        <v>232</v>
      </c>
      <c r="D24">
        <v>11502015</v>
      </c>
      <c r="E24" t="s">
        <v>48</v>
      </c>
      <c r="F24" t="s">
        <v>10</v>
      </c>
      <c r="G24">
        <v>816</v>
      </c>
      <c r="H24" t="s">
        <v>49</v>
      </c>
      <c r="J24" s="1">
        <v>45272</v>
      </c>
      <c r="K24">
        <v>686</v>
      </c>
      <c r="M24">
        <v>0</v>
      </c>
      <c r="N24">
        <f t="shared" si="1"/>
        <v>0</v>
      </c>
      <c r="O24">
        <v>560</v>
      </c>
      <c r="P24">
        <f t="shared" si="2"/>
        <v>19</v>
      </c>
      <c r="Q24">
        <f t="shared" si="4"/>
        <v>43</v>
      </c>
      <c r="R24">
        <v>45</v>
      </c>
      <c r="S24" s="2" t="s">
        <v>236</v>
      </c>
      <c r="X24" t="s">
        <v>244</v>
      </c>
    </row>
    <row r="25" spans="1:25" ht="16.5" hidden="1" customHeight="1" x14ac:dyDescent="0.25">
      <c r="A25" s="5" t="s">
        <v>231</v>
      </c>
      <c r="B25" t="str">
        <f t="shared" si="0"/>
        <v>01999</v>
      </c>
      <c r="C25" t="s">
        <v>232</v>
      </c>
      <c r="D25">
        <v>11503010</v>
      </c>
      <c r="E25" t="s">
        <v>50</v>
      </c>
      <c r="F25" t="s">
        <v>20</v>
      </c>
      <c r="G25">
        <v>734</v>
      </c>
      <c r="H25" t="s">
        <v>51</v>
      </c>
      <c r="J25" s="1">
        <v>45605</v>
      </c>
      <c r="K25">
        <v>1019</v>
      </c>
      <c r="M25">
        <v>0</v>
      </c>
      <c r="N25">
        <f t="shared" si="1"/>
        <v>0</v>
      </c>
      <c r="O25">
        <v>521</v>
      </c>
      <c r="P25">
        <f t="shared" si="2"/>
        <v>17</v>
      </c>
      <c r="Q25">
        <f t="shared" si="4"/>
        <v>43</v>
      </c>
      <c r="R25">
        <v>25</v>
      </c>
      <c r="T25" s="1">
        <v>44510</v>
      </c>
      <c r="U25">
        <v>76</v>
      </c>
    </row>
    <row r="26" spans="1:25" ht="16.5" customHeight="1" x14ac:dyDescent="0.25">
      <c r="A26" s="5" t="s">
        <v>231</v>
      </c>
      <c r="B26" t="str">
        <f t="shared" si="0"/>
        <v>01999</v>
      </c>
      <c r="C26" t="s">
        <v>232</v>
      </c>
      <c r="D26">
        <v>11504039</v>
      </c>
      <c r="E26" t="s">
        <v>52</v>
      </c>
      <c r="F26" t="s">
        <v>20</v>
      </c>
      <c r="G26">
        <v>647</v>
      </c>
      <c r="H26" t="s">
        <v>53</v>
      </c>
      <c r="J26" s="1">
        <v>44769</v>
      </c>
      <c r="K26">
        <v>183</v>
      </c>
      <c r="M26">
        <v>0</v>
      </c>
      <c r="N26">
        <f t="shared" si="1"/>
        <v>0</v>
      </c>
      <c r="O26">
        <v>22</v>
      </c>
      <c r="P26">
        <f t="shared" si="2"/>
        <v>1</v>
      </c>
      <c r="Q26">
        <f t="shared" si="4"/>
        <v>647</v>
      </c>
      <c r="R26">
        <v>40</v>
      </c>
      <c r="X26" t="s">
        <v>245</v>
      </c>
    </row>
    <row r="27" spans="1:25" ht="16.5" hidden="1" customHeight="1" x14ac:dyDescent="0.25">
      <c r="A27" s="3" t="s">
        <v>231</v>
      </c>
      <c r="B27" t="str">
        <f t="shared" si="0"/>
        <v>01999</v>
      </c>
      <c r="C27" t="s">
        <v>232</v>
      </c>
      <c r="D27">
        <v>11506001</v>
      </c>
      <c r="E27" t="s">
        <v>54</v>
      </c>
      <c r="F27" t="s">
        <v>10</v>
      </c>
      <c r="G27">
        <v>684</v>
      </c>
      <c r="H27" t="s">
        <v>55</v>
      </c>
      <c r="J27" s="1">
        <v>45996</v>
      </c>
      <c r="K27">
        <v>1410</v>
      </c>
      <c r="M27">
        <v>0</v>
      </c>
      <c r="N27">
        <f t="shared" si="1"/>
        <v>0</v>
      </c>
      <c r="O27">
        <v>1017</v>
      </c>
      <c r="P27">
        <f t="shared" si="2"/>
        <v>34</v>
      </c>
      <c r="Q27">
        <f t="shared" si="4"/>
        <v>20</v>
      </c>
      <c r="R27">
        <v>40</v>
      </c>
      <c r="S27" s="2" t="s">
        <v>236</v>
      </c>
      <c r="T27" s="1">
        <v>44171</v>
      </c>
      <c r="U27">
        <v>415</v>
      </c>
      <c r="V27" s="2" t="s">
        <v>234</v>
      </c>
    </row>
    <row r="28" spans="1:25" ht="16.5" hidden="1" customHeight="1" x14ac:dyDescent="0.25">
      <c r="A28" s="3" t="s">
        <v>231</v>
      </c>
      <c r="B28" t="str">
        <f t="shared" si="0"/>
        <v>01999</v>
      </c>
      <c r="C28" t="s">
        <v>232</v>
      </c>
      <c r="D28">
        <v>11506001</v>
      </c>
      <c r="E28" t="s">
        <v>54</v>
      </c>
      <c r="F28" t="s">
        <v>10</v>
      </c>
      <c r="G28">
        <v>419</v>
      </c>
      <c r="H28" t="s">
        <v>56</v>
      </c>
      <c r="J28" s="1">
        <v>46361</v>
      </c>
      <c r="K28">
        <v>1775</v>
      </c>
      <c r="M28">
        <v>0</v>
      </c>
      <c r="N28">
        <f t="shared" si="1"/>
        <v>0</v>
      </c>
      <c r="O28">
        <v>1017</v>
      </c>
      <c r="P28">
        <f t="shared" si="2"/>
        <v>34</v>
      </c>
      <c r="Q28">
        <f t="shared" si="4"/>
        <v>12</v>
      </c>
      <c r="R28">
        <v>40</v>
      </c>
      <c r="S28" s="2" t="s">
        <v>236</v>
      </c>
      <c r="T28" s="1">
        <v>44536</v>
      </c>
      <c r="U28">
        <v>50</v>
      </c>
    </row>
    <row r="29" spans="1:25" ht="16.5" hidden="1" customHeight="1" x14ac:dyDescent="0.25">
      <c r="A29" s="5" t="s">
        <v>231</v>
      </c>
      <c r="B29" t="str">
        <f t="shared" si="0"/>
        <v>01999</v>
      </c>
      <c r="C29" t="s">
        <v>232</v>
      </c>
      <c r="D29">
        <v>11601029</v>
      </c>
      <c r="E29" t="s">
        <v>57</v>
      </c>
      <c r="F29" t="s">
        <v>10</v>
      </c>
      <c r="G29">
        <v>2532</v>
      </c>
      <c r="H29" t="s">
        <v>58</v>
      </c>
      <c r="J29" s="1">
        <v>45135</v>
      </c>
      <c r="K29">
        <v>549</v>
      </c>
      <c r="L29">
        <v>660</v>
      </c>
      <c r="M29">
        <v>63</v>
      </c>
      <c r="N29">
        <f t="shared" si="1"/>
        <v>2</v>
      </c>
      <c r="O29">
        <v>641</v>
      </c>
      <c r="P29">
        <f t="shared" si="2"/>
        <v>21</v>
      </c>
      <c r="Q29">
        <f t="shared" si="4"/>
        <v>121</v>
      </c>
      <c r="R29">
        <v>30</v>
      </c>
      <c r="T29" s="1">
        <v>44405</v>
      </c>
      <c r="U29">
        <v>181</v>
      </c>
      <c r="V29" s="2" t="s">
        <v>234</v>
      </c>
    </row>
    <row r="30" spans="1:25" ht="16.5" hidden="1" customHeight="1" x14ac:dyDescent="0.25">
      <c r="A30" s="3" t="s">
        <v>231</v>
      </c>
      <c r="B30" t="str">
        <f t="shared" si="0"/>
        <v>01999</v>
      </c>
      <c r="C30" t="s">
        <v>232</v>
      </c>
      <c r="D30">
        <v>11601030</v>
      </c>
      <c r="E30" t="s">
        <v>59</v>
      </c>
      <c r="F30" t="s">
        <v>10</v>
      </c>
      <c r="G30">
        <v>1590</v>
      </c>
      <c r="H30" t="s">
        <v>60</v>
      </c>
      <c r="J30" s="1">
        <v>45261</v>
      </c>
      <c r="K30">
        <v>675</v>
      </c>
      <c r="L30">
        <v>660</v>
      </c>
      <c r="M30">
        <v>40</v>
      </c>
      <c r="N30">
        <f t="shared" si="1"/>
        <v>1</v>
      </c>
      <c r="O30">
        <v>1862</v>
      </c>
      <c r="P30">
        <f t="shared" si="2"/>
        <v>62</v>
      </c>
      <c r="Q30">
        <f t="shared" si="4"/>
        <v>26</v>
      </c>
      <c r="R30">
        <v>30</v>
      </c>
      <c r="S30" s="2" t="s">
        <v>236</v>
      </c>
      <c r="T30" s="1">
        <v>44531</v>
      </c>
      <c r="U30">
        <v>55</v>
      </c>
    </row>
    <row r="31" spans="1:25" ht="16.5" hidden="1" customHeight="1" x14ac:dyDescent="0.25">
      <c r="A31" s="3" t="s">
        <v>231</v>
      </c>
      <c r="B31" t="str">
        <f t="shared" si="0"/>
        <v>01999</v>
      </c>
      <c r="C31" t="s">
        <v>232</v>
      </c>
      <c r="D31">
        <v>11601034</v>
      </c>
      <c r="E31" t="s">
        <v>61</v>
      </c>
      <c r="F31" t="s">
        <v>10</v>
      </c>
      <c r="G31">
        <v>968</v>
      </c>
      <c r="H31" t="s">
        <v>62</v>
      </c>
      <c r="J31" s="1">
        <v>45261</v>
      </c>
      <c r="K31">
        <v>675</v>
      </c>
      <c r="L31">
        <v>660</v>
      </c>
      <c r="M31">
        <v>53</v>
      </c>
      <c r="N31">
        <f t="shared" si="1"/>
        <v>2</v>
      </c>
      <c r="O31">
        <v>1010</v>
      </c>
      <c r="P31">
        <f t="shared" si="2"/>
        <v>34</v>
      </c>
      <c r="Q31">
        <f t="shared" si="4"/>
        <v>28</v>
      </c>
      <c r="R31">
        <v>30</v>
      </c>
      <c r="S31" s="2" t="s">
        <v>236</v>
      </c>
      <c r="T31" s="1">
        <v>44531</v>
      </c>
      <c r="U31">
        <v>55</v>
      </c>
    </row>
    <row r="32" spans="1:25" ht="16.5" hidden="1" customHeight="1" x14ac:dyDescent="0.25">
      <c r="A32" s="5" t="s">
        <v>231</v>
      </c>
      <c r="B32" t="str">
        <f t="shared" si="0"/>
        <v>01999</v>
      </c>
      <c r="C32" t="s">
        <v>232</v>
      </c>
      <c r="D32">
        <v>11601074</v>
      </c>
      <c r="E32" t="s">
        <v>63</v>
      </c>
      <c r="F32" t="s">
        <v>20</v>
      </c>
      <c r="G32">
        <v>493</v>
      </c>
      <c r="H32" t="s">
        <v>64</v>
      </c>
      <c r="J32" s="1">
        <v>45129</v>
      </c>
      <c r="K32">
        <v>543</v>
      </c>
      <c r="M32">
        <v>0</v>
      </c>
      <c r="N32">
        <f t="shared" si="1"/>
        <v>0</v>
      </c>
      <c r="O32">
        <v>174</v>
      </c>
      <c r="P32">
        <f t="shared" si="2"/>
        <v>6</v>
      </c>
      <c r="Q32">
        <f t="shared" si="4"/>
        <v>82</v>
      </c>
      <c r="R32">
        <v>30</v>
      </c>
      <c r="T32" s="1">
        <v>44399</v>
      </c>
      <c r="U32">
        <v>187</v>
      </c>
      <c r="V32" s="2" t="s">
        <v>234</v>
      </c>
    </row>
    <row r="33" spans="1:24" ht="16.5" hidden="1" customHeight="1" x14ac:dyDescent="0.25">
      <c r="A33" s="5" t="s">
        <v>231</v>
      </c>
      <c r="B33" t="str">
        <f t="shared" si="0"/>
        <v>01999</v>
      </c>
      <c r="C33" t="s">
        <v>232</v>
      </c>
      <c r="D33">
        <v>11601074</v>
      </c>
      <c r="E33" t="s">
        <v>63</v>
      </c>
      <c r="F33" t="s">
        <v>20</v>
      </c>
      <c r="G33">
        <v>736</v>
      </c>
      <c r="H33" t="s">
        <v>65</v>
      </c>
      <c r="J33" s="1">
        <v>45141</v>
      </c>
      <c r="K33">
        <v>555</v>
      </c>
      <c r="M33">
        <v>0</v>
      </c>
      <c r="N33">
        <f t="shared" si="1"/>
        <v>0</v>
      </c>
      <c r="O33">
        <v>174</v>
      </c>
      <c r="P33">
        <f t="shared" si="2"/>
        <v>6</v>
      </c>
      <c r="Q33">
        <f t="shared" si="4"/>
        <v>123</v>
      </c>
      <c r="R33">
        <v>30</v>
      </c>
      <c r="T33" s="1">
        <v>44411</v>
      </c>
      <c r="U33">
        <v>175</v>
      </c>
      <c r="W33" s="2" t="s">
        <v>233</v>
      </c>
    </row>
    <row r="34" spans="1:24" ht="16.5" hidden="1" customHeight="1" x14ac:dyDescent="0.25">
      <c r="A34" s="3" t="s">
        <v>231</v>
      </c>
      <c r="B34" t="str">
        <f t="shared" ref="B34:B65" si="5">"01999"</f>
        <v>01999</v>
      </c>
      <c r="C34" t="s">
        <v>232</v>
      </c>
      <c r="D34">
        <v>11606002</v>
      </c>
      <c r="E34" t="s">
        <v>66</v>
      </c>
      <c r="F34" t="s">
        <v>16</v>
      </c>
      <c r="G34">
        <v>2820</v>
      </c>
      <c r="H34" t="s">
        <v>67</v>
      </c>
      <c r="J34" s="1">
        <v>44945</v>
      </c>
      <c r="K34">
        <v>359</v>
      </c>
      <c r="L34">
        <v>2400</v>
      </c>
      <c r="M34">
        <v>193</v>
      </c>
      <c r="N34">
        <f t="shared" ref="N34:N65" si="6">ROUND(M34/30,0)</f>
        <v>6</v>
      </c>
      <c r="O34">
        <v>4565</v>
      </c>
      <c r="P34">
        <f t="shared" ref="P34:P65" si="7">ROUND(O34/30,0)</f>
        <v>152</v>
      </c>
      <c r="Q34">
        <f t="shared" si="4"/>
        <v>19</v>
      </c>
      <c r="R34">
        <v>30</v>
      </c>
      <c r="S34" s="2" t="s">
        <v>236</v>
      </c>
      <c r="T34" s="1">
        <v>44580</v>
      </c>
      <c r="U34">
        <v>6</v>
      </c>
    </row>
    <row r="35" spans="1:24" ht="16.5" hidden="1" customHeight="1" x14ac:dyDescent="0.25">
      <c r="A35" s="3" t="s">
        <v>231</v>
      </c>
      <c r="B35" t="str">
        <f t="shared" si="5"/>
        <v>01999</v>
      </c>
      <c r="C35" t="s">
        <v>232</v>
      </c>
      <c r="D35">
        <v>11606005</v>
      </c>
      <c r="E35" t="s">
        <v>68</v>
      </c>
      <c r="F35" t="s">
        <v>16</v>
      </c>
      <c r="G35">
        <v>1347</v>
      </c>
      <c r="H35" t="s">
        <v>69</v>
      </c>
      <c r="J35" s="1">
        <v>44939</v>
      </c>
      <c r="K35">
        <v>353</v>
      </c>
      <c r="L35">
        <v>2400</v>
      </c>
      <c r="M35">
        <v>338</v>
      </c>
      <c r="N35">
        <f t="shared" si="6"/>
        <v>11</v>
      </c>
      <c r="O35">
        <v>1663</v>
      </c>
      <c r="P35">
        <f t="shared" si="7"/>
        <v>55</v>
      </c>
      <c r="Q35">
        <f t="shared" si="4"/>
        <v>24</v>
      </c>
      <c r="R35">
        <v>30</v>
      </c>
      <c r="S35" s="2" t="s">
        <v>236</v>
      </c>
      <c r="T35" s="1">
        <v>44574</v>
      </c>
      <c r="U35">
        <v>12</v>
      </c>
    </row>
    <row r="36" spans="1:24" ht="16.5" customHeight="1" x14ac:dyDescent="0.25">
      <c r="A36" s="3" t="s">
        <v>231</v>
      </c>
      <c r="B36" t="str">
        <f t="shared" si="5"/>
        <v>01999</v>
      </c>
      <c r="C36" t="s">
        <v>232</v>
      </c>
      <c r="D36">
        <v>11606007</v>
      </c>
      <c r="E36" t="s">
        <v>70</v>
      </c>
      <c r="F36" t="s">
        <v>16</v>
      </c>
      <c r="G36">
        <v>616</v>
      </c>
      <c r="H36" t="s">
        <v>71</v>
      </c>
      <c r="J36" s="1">
        <v>44835</v>
      </c>
      <c r="K36">
        <v>249</v>
      </c>
      <c r="M36">
        <v>0</v>
      </c>
      <c r="N36">
        <f t="shared" si="6"/>
        <v>0</v>
      </c>
      <c r="P36">
        <f t="shared" si="7"/>
        <v>0</v>
      </c>
      <c r="Q36">
        <v>0</v>
      </c>
      <c r="R36">
        <v>30</v>
      </c>
      <c r="S36" s="2" t="s">
        <v>236</v>
      </c>
      <c r="X36" t="s">
        <v>246</v>
      </c>
    </row>
    <row r="37" spans="1:24" ht="16.5" hidden="1" customHeight="1" x14ac:dyDescent="0.25">
      <c r="A37" s="3" t="s">
        <v>231</v>
      </c>
      <c r="B37" t="str">
        <f t="shared" si="5"/>
        <v>01999</v>
      </c>
      <c r="C37" t="s">
        <v>232</v>
      </c>
      <c r="D37">
        <v>11702022</v>
      </c>
      <c r="E37" t="s">
        <v>72</v>
      </c>
      <c r="F37" t="s">
        <v>73</v>
      </c>
      <c r="G37">
        <v>635</v>
      </c>
      <c r="H37" t="s">
        <v>74</v>
      </c>
      <c r="J37" s="1">
        <v>45030</v>
      </c>
      <c r="K37">
        <v>444</v>
      </c>
      <c r="M37">
        <v>0</v>
      </c>
      <c r="N37">
        <f t="shared" si="6"/>
        <v>0</v>
      </c>
      <c r="O37">
        <v>507</v>
      </c>
      <c r="P37">
        <f t="shared" si="7"/>
        <v>17</v>
      </c>
      <c r="Q37">
        <f t="shared" ref="Q37:Q43" si="8">ROUND(G37/P37,0)</f>
        <v>37</v>
      </c>
      <c r="R37">
        <v>40</v>
      </c>
      <c r="S37" s="2" t="s">
        <v>236</v>
      </c>
      <c r="T37" s="1">
        <v>44490</v>
      </c>
      <c r="U37">
        <v>96</v>
      </c>
      <c r="W37" s="2" t="s">
        <v>233</v>
      </c>
    </row>
    <row r="38" spans="1:24" ht="16.5" hidden="1" customHeight="1" x14ac:dyDescent="0.25">
      <c r="A38" s="3" t="s">
        <v>231</v>
      </c>
      <c r="B38" t="str">
        <f t="shared" si="5"/>
        <v>01999</v>
      </c>
      <c r="C38" t="s">
        <v>232</v>
      </c>
      <c r="D38">
        <v>11702022</v>
      </c>
      <c r="E38" t="s">
        <v>72</v>
      </c>
      <c r="F38" t="s">
        <v>73</v>
      </c>
      <c r="G38">
        <v>12</v>
      </c>
      <c r="H38" t="s">
        <v>75</v>
      </c>
      <c r="J38" s="1">
        <v>45030</v>
      </c>
      <c r="K38">
        <v>444</v>
      </c>
      <c r="M38">
        <v>0</v>
      </c>
      <c r="N38">
        <f t="shared" si="6"/>
        <v>0</v>
      </c>
      <c r="O38">
        <v>507</v>
      </c>
      <c r="P38">
        <f t="shared" si="7"/>
        <v>17</v>
      </c>
      <c r="Q38">
        <f t="shared" si="8"/>
        <v>1</v>
      </c>
      <c r="R38">
        <v>40</v>
      </c>
      <c r="S38" s="2" t="s">
        <v>236</v>
      </c>
      <c r="T38" s="1">
        <v>44490</v>
      </c>
      <c r="U38">
        <v>96</v>
      </c>
      <c r="W38" s="2" t="s">
        <v>233</v>
      </c>
    </row>
    <row r="39" spans="1:24" ht="16.5" hidden="1" customHeight="1" x14ac:dyDescent="0.25">
      <c r="A39" s="5" t="s">
        <v>231</v>
      </c>
      <c r="B39" t="str">
        <f t="shared" si="5"/>
        <v>01999</v>
      </c>
      <c r="C39" t="s">
        <v>232</v>
      </c>
      <c r="D39">
        <v>11702023</v>
      </c>
      <c r="E39" t="s">
        <v>76</v>
      </c>
      <c r="F39" t="s">
        <v>13</v>
      </c>
      <c r="G39">
        <v>392</v>
      </c>
      <c r="H39" t="s">
        <v>77</v>
      </c>
      <c r="J39" s="1">
        <v>45110</v>
      </c>
      <c r="K39">
        <v>524</v>
      </c>
      <c r="M39">
        <v>0</v>
      </c>
      <c r="N39">
        <f t="shared" si="6"/>
        <v>0</v>
      </c>
      <c r="O39">
        <v>176</v>
      </c>
      <c r="P39">
        <f t="shared" si="7"/>
        <v>6</v>
      </c>
      <c r="Q39">
        <f t="shared" si="8"/>
        <v>65</v>
      </c>
      <c r="R39">
        <v>40</v>
      </c>
      <c r="T39" s="1">
        <v>44570</v>
      </c>
      <c r="U39">
        <v>16</v>
      </c>
    </row>
    <row r="40" spans="1:24" ht="16.5" customHeight="1" x14ac:dyDescent="0.25">
      <c r="A40" s="3" t="s">
        <v>231</v>
      </c>
      <c r="B40" t="str">
        <f t="shared" si="5"/>
        <v>01999</v>
      </c>
      <c r="C40" t="s">
        <v>232</v>
      </c>
      <c r="D40">
        <v>11702024</v>
      </c>
      <c r="E40" t="s">
        <v>247</v>
      </c>
      <c r="F40" t="s">
        <v>13</v>
      </c>
      <c r="G40">
        <v>168</v>
      </c>
      <c r="H40" t="s">
        <v>78</v>
      </c>
      <c r="J40" s="1">
        <v>45110</v>
      </c>
      <c r="K40">
        <v>524</v>
      </c>
      <c r="M40">
        <v>0</v>
      </c>
      <c r="N40">
        <f t="shared" si="6"/>
        <v>0</v>
      </c>
      <c r="O40">
        <v>114</v>
      </c>
      <c r="P40">
        <f t="shared" si="7"/>
        <v>4</v>
      </c>
      <c r="Q40">
        <f t="shared" si="8"/>
        <v>42</v>
      </c>
      <c r="R40">
        <v>40</v>
      </c>
      <c r="S40" s="2" t="s">
        <v>236</v>
      </c>
      <c r="X40" t="s">
        <v>240</v>
      </c>
    </row>
    <row r="41" spans="1:24" ht="16.5" hidden="1" customHeight="1" x14ac:dyDescent="0.25">
      <c r="A41" s="3" t="s">
        <v>231</v>
      </c>
      <c r="B41" t="str">
        <f t="shared" si="5"/>
        <v>01999</v>
      </c>
      <c r="C41" t="s">
        <v>232</v>
      </c>
      <c r="D41">
        <v>11704003</v>
      </c>
      <c r="E41" t="s">
        <v>79</v>
      </c>
      <c r="F41" t="s">
        <v>43</v>
      </c>
      <c r="G41">
        <v>287</v>
      </c>
      <c r="H41" t="s">
        <v>80</v>
      </c>
      <c r="J41" s="1">
        <v>44909</v>
      </c>
      <c r="K41">
        <v>323</v>
      </c>
      <c r="M41">
        <v>0</v>
      </c>
      <c r="N41">
        <f t="shared" si="6"/>
        <v>0</v>
      </c>
      <c r="O41">
        <v>709</v>
      </c>
      <c r="P41">
        <f t="shared" si="7"/>
        <v>24</v>
      </c>
      <c r="Q41">
        <f t="shared" si="8"/>
        <v>12</v>
      </c>
      <c r="R41">
        <v>25</v>
      </c>
      <c r="S41" s="2" t="s">
        <v>236</v>
      </c>
      <c r="T41" s="1">
        <v>44544</v>
      </c>
      <c r="U41">
        <v>42</v>
      </c>
    </row>
    <row r="42" spans="1:24" ht="16.5" hidden="1" customHeight="1" x14ac:dyDescent="0.25">
      <c r="A42" s="5" t="s">
        <v>231</v>
      </c>
      <c r="B42" t="str">
        <f t="shared" si="5"/>
        <v>01999</v>
      </c>
      <c r="C42" t="s">
        <v>232</v>
      </c>
      <c r="D42">
        <v>11704005</v>
      </c>
      <c r="E42" t="s">
        <v>81</v>
      </c>
      <c r="F42" t="s">
        <v>43</v>
      </c>
      <c r="G42">
        <v>570</v>
      </c>
      <c r="H42" t="s">
        <v>82</v>
      </c>
      <c r="J42" s="1">
        <v>44945</v>
      </c>
      <c r="K42">
        <v>359</v>
      </c>
      <c r="M42">
        <v>0</v>
      </c>
      <c r="N42">
        <f t="shared" si="6"/>
        <v>0</v>
      </c>
      <c r="O42">
        <v>184</v>
      </c>
      <c r="P42">
        <f t="shared" si="7"/>
        <v>6</v>
      </c>
      <c r="Q42">
        <f t="shared" si="8"/>
        <v>95</v>
      </c>
      <c r="R42">
        <v>25</v>
      </c>
      <c r="T42" s="1">
        <v>44580</v>
      </c>
      <c r="U42">
        <v>6</v>
      </c>
    </row>
    <row r="43" spans="1:24" ht="16.5" hidden="1" customHeight="1" x14ac:dyDescent="0.25">
      <c r="A43" s="3" t="s">
        <v>231</v>
      </c>
      <c r="B43" t="str">
        <f t="shared" si="5"/>
        <v>01999</v>
      </c>
      <c r="C43" t="s">
        <v>232</v>
      </c>
      <c r="D43">
        <v>11704133</v>
      </c>
      <c r="E43" t="s">
        <v>83</v>
      </c>
      <c r="F43" t="s">
        <v>84</v>
      </c>
      <c r="G43">
        <v>6</v>
      </c>
      <c r="H43" t="s">
        <v>85</v>
      </c>
      <c r="J43" s="1">
        <v>44846</v>
      </c>
      <c r="K43">
        <v>260</v>
      </c>
      <c r="M43">
        <v>0</v>
      </c>
      <c r="N43">
        <f t="shared" si="6"/>
        <v>0</v>
      </c>
      <c r="O43">
        <v>159</v>
      </c>
      <c r="P43">
        <f t="shared" si="7"/>
        <v>5</v>
      </c>
      <c r="Q43">
        <f t="shared" si="8"/>
        <v>1</v>
      </c>
      <c r="R43">
        <v>30</v>
      </c>
      <c r="S43" s="2" t="s">
        <v>236</v>
      </c>
      <c r="T43" s="1">
        <v>44481</v>
      </c>
      <c r="U43">
        <v>105</v>
      </c>
      <c r="W43" s="2" t="s">
        <v>233</v>
      </c>
    </row>
    <row r="44" spans="1:24" ht="16.5" hidden="1" customHeight="1" x14ac:dyDescent="0.25">
      <c r="A44" s="3" t="s">
        <v>231</v>
      </c>
      <c r="B44" t="str">
        <f t="shared" si="5"/>
        <v>01999</v>
      </c>
      <c r="C44" t="s">
        <v>232</v>
      </c>
      <c r="D44">
        <v>11704137</v>
      </c>
      <c r="E44" t="s">
        <v>86</v>
      </c>
      <c r="F44" t="s">
        <v>87</v>
      </c>
      <c r="G44">
        <v>83</v>
      </c>
      <c r="H44" t="s">
        <v>88</v>
      </c>
      <c r="J44" s="1">
        <v>44882</v>
      </c>
      <c r="K44">
        <v>296</v>
      </c>
      <c r="M44">
        <v>0</v>
      </c>
      <c r="N44">
        <f t="shared" si="6"/>
        <v>0</v>
      </c>
      <c r="P44">
        <f t="shared" si="7"/>
        <v>0</v>
      </c>
      <c r="Q44">
        <v>0</v>
      </c>
      <c r="R44">
        <v>30</v>
      </c>
      <c r="S44" s="2" t="s">
        <v>236</v>
      </c>
      <c r="T44" s="1">
        <v>44517</v>
      </c>
      <c r="U44">
        <v>69</v>
      </c>
    </row>
    <row r="45" spans="1:24" ht="16.5" customHeight="1" x14ac:dyDescent="0.25">
      <c r="A45" s="5" t="s">
        <v>231</v>
      </c>
      <c r="B45" t="str">
        <f t="shared" si="5"/>
        <v>01999</v>
      </c>
      <c r="C45" t="s">
        <v>232</v>
      </c>
      <c r="D45">
        <v>11704149</v>
      </c>
      <c r="E45" t="s">
        <v>89</v>
      </c>
      <c r="F45" t="s">
        <v>20</v>
      </c>
      <c r="G45">
        <v>299</v>
      </c>
      <c r="H45" t="s">
        <v>90</v>
      </c>
      <c r="J45" s="1">
        <v>45020</v>
      </c>
      <c r="K45">
        <v>434</v>
      </c>
      <c r="M45">
        <v>0</v>
      </c>
      <c r="N45">
        <f t="shared" si="6"/>
        <v>0</v>
      </c>
      <c r="O45">
        <v>59</v>
      </c>
      <c r="P45">
        <f t="shared" si="7"/>
        <v>2</v>
      </c>
      <c r="Q45">
        <f t="shared" ref="Q45:Q52" si="9">ROUND(G45/P45,0)</f>
        <v>150</v>
      </c>
      <c r="R45">
        <v>40</v>
      </c>
      <c r="X45" t="s">
        <v>240</v>
      </c>
    </row>
    <row r="46" spans="1:24" ht="16.5" customHeight="1" x14ac:dyDescent="0.25">
      <c r="A46" s="5" t="s">
        <v>231</v>
      </c>
      <c r="B46" t="str">
        <f t="shared" si="5"/>
        <v>01999</v>
      </c>
      <c r="C46" t="s">
        <v>232</v>
      </c>
      <c r="D46">
        <v>11704153</v>
      </c>
      <c r="E46" t="s">
        <v>91</v>
      </c>
      <c r="F46" t="s">
        <v>92</v>
      </c>
      <c r="G46">
        <v>264</v>
      </c>
      <c r="H46" t="s">
        <v>93</v>
      </c>
      <c r="J46" s="1">
        <v>44880</v>
      </c>
      <c r="K46">
        <v>294</v>
      </c>
      <c r="M46">
        <v>0</v>
      </c>
      <c r="N46">
        <f t="shared" si="6"/>
        <v>0</v>
      </c>
      <c r="O46">
        <v>158</v>
      </c>
      <c r="P46">
        <f t="shared" si="7"/>
        <v>5</v>
      </c>
      <c r="Q46">
        <f t="shared" si="9"/>
        <v>53</v>
      </c>
      <c r="R46">
        <v>40</v>
      </c>
      <c r="X46" t="s">
        <v>243</v>
      </c>
    </row>
    <row r="47" spans="1:24" ht="16.5" customHeight="1" x14ac:dyDescent="0.25">
      <c r="A47" s="5" t="s">
        <v>231</v>
      </c>
      <c r="B47" t="str">
        <f t="shared" si="5"/>
        <v>01999</v>
      </c>
      <c r="C47" t="s">
        <v>232</v>
      </c>
      <c r="D47">
        <v>11704158</v>
      </c>
      <c r="E47" t="s">
        <v>94</v>
      </c>
      <c r="F47" t="s">
        <v>87</v>
      </c>
      <c r="G47">
        <v>252</v>
      </c>
      <c r="H47" t="s">
        <v>95</v>
      </c>
      <c r="J47" s="1">
        <v>45098</v>
      </c>
      <c r="K47">
        <v>512</v>
      </c>
      <c r="M47">
        <v>0</v>
      </c>
      <c r="N47">
        <f t="shared" si="6"/>
        <v>0</v>
      </c>
      <c r="O47">
        <v>288</v>
      </c>
      <c r="P47">
        <f t="shared" si="7"/>
        <v>10</v>
      </c>
      <c r="Q47">
        <f t="shared" si="9"/>
        <v>25</v>
      </c>
      <c r="R47">
        <v>40</v>
      </c>
      <c r="X47" t="s">
        <v>248</v>
      </c>
    </row>
    <row r="48" spans="1:24" ht="16.5" customHeight="1" x14ac:dyDescent="0.25">
      <c r="A48" s="5" t="s">
        <v>231</v>
      </c>
      <c r="B48" t="str">
        <f t="shared" si="5"/>
        <v>01999</v>
      </c>
      <c r="C48" t="s">
        <v>232</v>
      </c>
      <c r="D48">
        <v>11704162</v>
      </c>
      <c r="E48" t="s">
        <v>96</v>
      </c>
      <c r="F48" t="s">
        <v>73</v>
      </c>
      <c r="G48">
        <v>303</v>
      </c>
      <c r="H48" t="s">
        <v>97</v>
      </c>
      <c r="J48" s="1">
        <v>44937</v>
      </c>
      <c r="K48">
        <v>351</v>
      </c>
      <c r="M48">
        <v>0</v>
      </c>
      <c r="N48">
        <f t="shared" si="6"/>
        <v>0</v>
      </c>
      <c r="O48">
        <v>74</v>
      </c>
      <c r="P48">
        <f t="shared" si="7"/>
        <v>2</v>
      </c>
      <c r="Q48">
        <f t="shared" si="9"/>
        <v>152</v>
      </c>
      <c r="R48">
        <v>40</v>
      </c>
      <c r="X48" t="s">
        <v>243</v>
      </c>
    </row>
    <row r="49" spans="1:24" ht="16.5" customHeight="1" x14ac:dyDescent="0.25">
      <c r="A49" s="5" t="s">
        <v>231</v>
      </c>
      <c r="B49" t="str">
        <f t="shared" si="5"/>
        <v>01999</v>
      </c>
      <c r="C49" t="s">
        <v>232</v>
      </c>
      <c r="D49">
        <v>11704163</v>
      </c>
      <c r="E49" t="s">
        <v>98</v>
      </c>
      <c r="F49" t="s">
        <v>20</v>
      </c>
      <c r="G49">
        <v>957</v>
      </c>
      <c r="H49" t="s">
        <v>99</v>
      </c>
      <c r="J49" s="1">
        <v>44915</v>
      </c>
      <c r="K49">
        <v>329</v>
      </c>
      <c r="M49">
        <v>0</v>
      </c>
      <c r="N49">
        <f t="shared" si="6"/>
        <v>0</v>
      </c>
      <c r="O49">
        <v>162</v>
      </c>
      <c r="P49">
        <f t="shared" si="7"/>
        <v>5</v>
      </c>
      <c r="Q49">
        <f t="shared" si="9"/>
        <v>191</v>
      </c>
      <c r="R49">
        <v>40</v>
      </c>
      <c r="X49" t="s">
        <v>243</v>
      </c>
    </row>
    <row r="50" spans="1:24" ht="16.5" hidden="1" customHeight="1" x14ac:dyDescent="0.25">
      <c r="A50" s="5" t="s">
        <v>231</v>
      </c>
      <c r="B50" t="str">
        <f t="shared" si="5"/>
        <v>01999</v>
      </c>
      <c r="C50" t="s">
        <v>232</v>
      </c>
      <c r="D50">
        <v>11801018</v>
      </c>
      <c r="E50" t="s">
        <v>100</v>
      </c>
      <c r="F50" t="s">
        <v>16</v>
      </c>
      <c r="G50">
        <v>1003</v>
      </c>
      <c r="H50" t="s">
        <v>101</v>
      </c>
      <c r="J50" s="1">
        <v>44901</v>
      </c>
      <c r="K50">
        <v>315</v>
      </c>
      <c r="M50">
        <v>0</v>
      </c>
      <c r="N50">
        <f t="shared" si="6"/>
        <v>0</v>
      </c>
      <c r="O50">
        <v>410</v>
      </c>
      <c r="P50">
        <f t="shared" si="7"/>
        <v>14</v>
      </c>
      <c r="Q50">
        <f t="shared" si="9"/>
        <v>72</v>
      </c>
      <c r="R50">
        <v>30</v>
      </c>
      <c r="T50" s="1">
        <v>44536</v>
      </c>
      <c r="U50">
        <v>50</v>
      </c>
    </row>
    <row r="51" spans="1:24" ht="16.5" hidden="1" customHeight="1" x14ac:dyDescent="0.25">
      <c r="A51" s="3" t="s">
        <v>231</v>
      </c>
      <c r="B51" t="str">
        <f t="shared" si="5"/>
        <v>01999</v>
      </c>
      <c r="C51" t="s">
        <v>232</v>
      </c>
      <c r="D51">
        <v>11803005</v>
      </c>
      <c r="E51" t="s">
        <v>102</v>
      </c>
      <c r="F51" t="s">
        <v>16</v>
      </c>
      <c r="G51">
        <v>176</v>
      </c>
      <c r="H51" t="s">
        <v>103</v>
      </c>
      <c r="J51" s="1">
        <v>44817</v>
      </c>
      <c r="K51">
        <v>231</v>
      </c>
      <c r="M51">
        <v>0</v>
      </c>
      <c r="N51">
        <f t="shared" si="6"/>
        <v>0</v>
      </c>
      <c r="O51">
        <v>224</v>
      </c>
      <c r="P51">
        <f t="shared" si="7"/>
        <v>7</v>
      </c>
      <c r="Q51">
        <f t="shared" si="9"/>
        <v>25</v>
      </c>
      <c r="R51">
        <v>25</v>
      </c>
      <c r="S51" s="2" t="s">
        <v>236</v>
      </c>
      <c r="T51" s="1">
        <v>44452</v>
      </c>
      <c r="U51">
        <v>134</v>
      </c>
      <c r="W51" s="2" t="s">
        <v>233</v>
      </c>
    </row>
    <row r="52" spans="1:24" ht="16.5" hidden="1" customHeight="1" x14ac:dyDescent="0.25">
      <c r="A52" s="3" t="s">
        <v>231</v>
      </c>
      <c r="B52" t="str">
        <f t="shared" si="5"/>
        <v>01999</v>
      </c>
      <c r="C52" t="s">
        <v>232</v>
      </c>
      <c r="D52">
        <v>11901002</v>
      </c>
      <c r="E52" t="s">
        <v>104</v>
      </c>
      <c r="F52" t="s">
        <v>43</v>
      </c>
      <c r="G52">
        <v>364</v>
      </c>
      <c r="H52" t="s">
        <v>105</v>
      </c>
      <c r="J52" s="1">
        <v>45091</v>
      </c>
      <c r="K52">
        <v>505</v>
      </c>
      <c r="M52">
        <v>0</v>
      </c>
      <c r="N52">
        <f t="shared" si="6"/>
        <v>0</v>
      </c>
      <c r="O52">
        <v>526</v>
      </c>
      <c r="P52">
        <f t="shared" si="7"/>
        <v>18</v>
      </c>
      <c r="Q52">
        <f t="shared" si="9"/>
        <v>20</v>
      </c>
      <c r="R52">
        <v>25</v>
      </c>
      <c r="S52" s="2" t="s">
        <v>236</v>
      </c>
      <c r="T52" s="1">
        <v>44551</v>
      </c>
      <c r="U52">
        <v>35</v>
      </c>
    </row>
    <row r="53" spans="1:24" ht="16.5" customHeight="1" x14ac:dyDescent="0.25">
      <c r="A53" s="3" t="s">
        <v>231</v>
      </c>
      <c r="B53" t="str">
        <f t="shared" si="5"/>
        <v>01999</v>
      </c>
      <c r="C53" t="s">
        <v>232</v>
      </c>
      <c r="D53">
        <v>11901015</v>
      </c>
      <c r="E53" t="s">
        <v>106</v>
      </c>
      <c r="F53" t="s">
        <v>16</v>
      </c>
      <c r="G53">
        <v>2161</v>
      </c>
      <c r="H53" t="s">
        <v>107</v>
      </c>
      <c r="J53" s="1">
        <v>44876</v>
      </c>
      <c r="K53">
        <v>290</v>
      </c>
      <c r="M53">
        <v>0</v>
      </c>
      <c r="N53">
        <f t="shared" si="6"/>
        <v>0</v>
      </c>
      <c r="P53">
        <f t="shared" si="7"/>
        <v>0</v>
      </c>
      <c r="Q53">
        <v>0</v>
      </c>
      <c r="R53">
        <v>40</v>
      </c>
      <c r="S53" s="2" t="s">
        <v>236</v>
      </c>
      <c r="X53" t="s">
        <v>249</v>
      </c>
    </row>
    <row r="54" spans="1:24" ht="16.5" hidden="1" customHeight="1" x14ac:dyDescent="0.25">
      <c r="A54" s="3" t="s">
        <v>231</v>
      </c>
      <c r="B54" t="str">
        <f t="shared" si="5"/>
        <v>01999</v>
      </c>
      <c r="C54" t="s">
        <v>232</v>
      </c>
      <c r="D54">
        <v>11902015</v>
      </c>
      <c r="E54" t="s">
        <v>108</v>
      </c>
      <c r="F54" t="s">
        <v>20</v>
      </c>
      <c r="G54">
        <v>636</v>
      </c>
      <c r="H54" t="s">
        <v>109</v>
      </c>
      <c r="J54" s="1">
        <v>44858</v>
      </c>
      <c r="K54">
        <v>272</v>
      </c>
      <c r="M54">
        <v>0</v>
      </c>
      <c r="N54">
        <f t="shared" si="6"/>
        <v>0</v>
      </c>
      <c r="O54">
        <v>1019</v>
      </c>
      <c r="P54">
        <f t="shared" si="7"/>
        <v>34</v>
      </c>
      <c r="Q54">
        <f t="shared" ref="Q54:Q59" si="10">ROUND(G54/P54,0)</f>
        <v>19</v>
      </c>
      <c r="R54">
        <v>30</v>
      </c>
      <c r="S54" s="2" t="s">
        <v>236</v>
      </c>
      <c r="T54" s="1">
        <v>44558</v>
      </c>
      <c r="U54">
        <v>28</v>
      </c>
    </row>
    <row r="55" spans="1:24" ht="16.5" customHeight="1" x14ac:dyDescent="0.25">
      <c r="A55" s="5" t="s">
        <v>231</v>
      </c>
      <c r="B55" t="str">
        <f t="shared" si="5"/>
        <v>01999</v>
      </c>
      <c r="C55" t="s">
        <v>232</v>
      </c>
      <c r="D55">
        <v>11903073</v>
      </c>
      <c r="E55" t="s">
        <v>110</v>
      </c>
      <c r="F55" t="s">
        <v>111</v>
      </c>
      <c r="G55">
        <v>72</v>
      </c>
      <c r="H55" t="s">
        <v>112</v>
      </c>
      <c r="J55" s="1">
        <v>44959</v>
      </c>
      <c r="K55">
        <v>373</v>
      </c>
      <c r="M55">
        <v>0</v>
      </c>
      <c r="N55">
        <f t="shared" si="6"/>
        <v>0</v>
      </c>
      <c r="O55">
        <v>71</v>
      </c>
      <c r="P55">
        <f t="shared" si="7"/>
        <v>2</v>
      </c>
      <c r="Q55">
        <f t="shared" si="10"/>
        <v>36</v>
      </c>
      <c r="R55">
        <v>40</v>
      </c>
      <c r="X55" t="s">
        <v>248</v>
      </c>
    </row>
    <row r="56" spans="1:24" ht="16.5" hidden="1" customHeight="1" x14ac:dyDescent="0.25">
      <c r="A56" s="5" t="s">
        <v>231</v>
      </c>
      <c r="B56" t="str">
        <f t="shared" si="5"/>
        <v>01999</v>
      </c>
      <c r="C56" t="s">
        <v>232</v>
      </c>
      <c r="D56">
        <v>11903073</v>
      </c>
      <c r="E56" t="s">
        <v>110</v>
      </c>
      <c r="F56" t="s">
        <v>111</v>
      </c>
      <c r="G56">
        <v>756</v>
      </c>
      <c r="H56" t="s">
        <v>113</v>
      </c>
      <c r="J56" s="1">
        <v>45054</v>
      </c>
      <c r="K56">
        <v>468</v>
      </c>
      <c r="M56">
        <v>0</v>
      </c>
      <c r="N56">
        <f t="shared" si="6"/>
        <v>0</v>
      </c>
      <c r="O56">
        <v>71</v>
      </c>
      <c r="P56">
        <f t="shared" si="7"/>
        <v>2</v>
      </c>
      <c r="Q56">
        <f t="shared" si="10"/>
        <v>378</v>
      </c>
    </row>
    <row r="57" spans="1:24" ht="16.5" hidden="1" customHeight="1" x14ac:dyDescent="0.25">
      <c r="A57" s="5" t="s">
        <v>231</v>
      </c>
      <c r="B57" t="str">
        <f t="shared" si="5"/>
        <v>01999</v>
      </c>
      <c r="C57" t="s">
        <v>232</v>
      </c>
      <c r="D57">
        <v>11903073</v>
      </c>
      <c r="E57" t="s">
        <v>110</v>
      </c>
      <c r="F57" t="s">
        <v>111</v>
      </c>
      <c r="G57">
        <v>228</v>
      </c>
      <c r="H57" t="s">
        <v>114</v>
      </c>
      <c r="J57" s="1">
        <v>45054</v>
      </c>
      <c r="K57">
        <v>468</v>
      </c>
      <c r="M57">
        <v>0</v>
      </c>
      <c r="N57">
        <f t="shared" si="6"/>
        <v>0</v>
      </c>
      <c r="O57">
        <v>71</v>
      </c>
      <c r="P57">
        <f t="shared" si="7"/>
        <v>2</v>
      </c>
      <c r="Q57">
        <f t="shared" si="10"/>
        <v>114</v>
      </c>
    </row>
    <row r="58" spans="1:24" ht="16.5" hidden="1" customHeight="1" x14ac:dyDescent="0.25">
      <c r="A58" s="5" t="s">
        <v>231</v>
      </c>
      <c r="B58" t="str">
        <f t="shared" si="5"/>
        <v>01999</v>
      </c>
      <c r="C58" t="s">
        <v>232</v>
      </c>
      <c r="D58">
        <v>11904010</v>
      </c>
      <c r="E58" t="s">
        <v>115</v>
      </c>
      <c r="F58" t="s">
        <v>43</v>
      </c>
      <c r="G58">
        <v>168</v>
      </c>
      <c r="H58" t="s">
        <v>116</v>
      </c>
      <c r="J58" s="1">
        <v>44859</v>
      </c>
      <c r="K58">
        <v>273</v>
      </c>
      <c r="M58">
        <v>0</v>
      </c>
      <c r="N58">
        <f t="shared" si="6"/>
        <v>0</v>
      </c>
      <c r="O58">
        <v>62</v>
      </c>
      <c r="P58">
        <f t="shared" si="7"/>
        <v>2</v>
      </c>
      <c r="Q58">
        <f t="shared" si="10"/>
        <v>84</v>
      </c>
      <c r="R58">
        <v>18</v>
      </c>
      <c r="T58" s="1">
        <v>44494</v>
      </c>
      <c r="U58">
        <v>92</v>
      </c>
      <c r="W58" s="2" t="s">
        <v>233</v>
      </c>
    </row>
    <row r="59" spans="1:24" ht="16.5" hidden="1" customHeight="1" x14ac:dyDescent="0.25">
      <c r="A59" s="5" t="s">
        <v>231</v>
      </c>
      <c r="B59" t="str">
        <f t="shared" si="5"/>
        <v>01999</v>
      </c>
      <c r="C59" t="s">
        <v>232</v>
      </c>
      <c r="D59">
        <v>11904012</v>
      </c>
      <c r="E59" t="s">
        <v>117</v>
      </c>
      <c r="F59" t="s">
        <v>43</v>
      </c>
      <c r="G59">
        <v>353</v>
      </c>
      <c r="H59" t="s">
        <v>118</v>
      </c>
      <c r="J59" s="1">
        <v>44935</v>
      </c>
      <c r="K59">
        <v>349</v>
      </c>
      <c r="M59">
        <v>0</v>
      </c>
      <c r="N59">
        <f t="shared" si="6"/>
        <v>0</v>
      </c>
      <c r="O59">
        <v>200</v>
      </c>
      <c r="P59">
        <f t="shared" si="7"/>
        <v>7</v>
      </c>
      <c r="Q59">
        <f t="shared" si="10"/>
        <v>50</v>
      </c>
      <c r="R59">
        <v>18</v>
      </c>
      <c r="T59" s="1">
        <v>44570</v>
      </c>
      <c r="U59">
        <v>16</v>
      </c>
    </row>
    <row r="60" spans="1:24" ht="16.5" customHeight="1" x14ac:dyDescent="0.25">
      <c r="A60" s="3" t="s">
        <v>231</v>
      </c>
      <c r="B60" t="str">
        <f t="shared" si="5"/>
        <v>01999</v>
      </c>
      <c r="C60" t="s">
        <v>232</v>
      </c>
      <c r="D60">
        <v>11904081</v>
      </c>
      <c r="E60" t="s">
        <v>119</v>
      </c>
      <c r="F60" t="s">
        <v>120</v>
      </c>
      <c r="G60">
        <v>3434</v>
      </c>
      <c r="H60" t="s">
        <v>121</v>
      </c>
      <c r="J60" s="1">
        <v>44839</v>
      </c>
      <c r="K60">
        <v>253</v>
      </c>
      <c r="M60">
        <v>0</v>
      </c>
      <c r="N60">
        <f t="shared" si="6"/>
        <v>0</v>
      </c>
      <c r="P60">
        <f t="shared" si="7"/>
        <v>0</v>
      </c>
      <c r="Q60">
        <v>0</v>
      </c>
      <c r="R60">
        <v>40</v>
      </c>
      <c r="S60" s="2" t="s">
        <v>236</v>
      </c>
      <c r="X60" t="s">
        <v>245</v>
      </c>
    </row>
    <row r="61" spans="1:24" ht="16.5" hidden="1" customHeight="1" x14ac:dyDescent="0.25">
      <c r="A61" s="3" t="s">
        <v>231</v>
      </c>
      <c r="B61" t="str">
        <f t="shared" si="5"/>
        <v>01999</v>
      </c>
      <c r="C61" t="s">
        <v>232</v>
      </c>
      <c r="D61">
        <v>11904089</v>
      </c>
      <c r="E61" t="s">
        <v>122</v>
      </c>
      <c r="F61" t="s">
        <v>16</v>
      </c>
      <c r="G61">
        <v>309</v>
      </c>
      <c r="H61" t="s">
        <v>123</v>
      </c>
      <c r="J61" s="1">
        <v>44898</v>
      </c>
      <c r="K61">
        <v>312</v>
      </c>
      <c r="M61">
        <v>0</v>
      </c>
      <c r="N61">
        <f t="shared" si="6"/>
        <v>0</v>
      </c>
      <c r="O61">
        <v>736</v>
      </c>
      <c r="P61">
        <f t="shared" si="7"/>
        <v>25</v>
      </c>
      <c r="Q61">
        <f>ROUND(G61/P61,0)</f>
        <v>12</v>
      </c>
      <c r="R61">
        <v>25</v>
      </c>
      <c r="T61" s="1">
        <v>44478</v>
      </c>
      <c r="U61">
        <v>108</v>
      </c>
      <c r="W61" s="2" t="s">
        <v>233</v>
      </c>
    </row>
    <row r="62" spans="1:24" ht="16.5" hidden="1" customHeight="1" x14ac:dyDescent="0.25">
      <c r="A62" s="5" t="s">
        <v>231</v>
      </c>
      <c r="B62" t="str">
        <f t="shared" si="5"/>
        <v>01999</v>
      </c>
      <c r="C62" t="s">
        <v>232</v>
      </c>
      <c r="D62">
        <v>11904089</v>
      </c>
      <c r="E62" t="s">
        <v>122</v>
      </c>
      <c r="F62" t="s">
        <v>16</v>
      </c>
      <c r="G62">
        <v>2460</v>
      </c>
      <c r="H62" t="s">
        <v>124</v>
      </c>
      <c r="J62" s="1">
        <v>44994</v>
      </c>
      <c r="K62">
        <v>408</v>
      </c>
      <c r="M62">
        <v>0</v>
      </c>
      <c r="N62">
        <f t="shared" si="6"/>
        <v>0</v>
      </c>
      <c r="O62">
        <v>736</v>
      </c>
      <c r="P62">
        <f t="shared" si="7"/>
        <v>25</v>
      </c>
      <c r="Q62">
        <f>ROUND(G62/P62,0)</f>
        <v>98</v>
      </c>
      <c r="R62">
        <v>25</v>
      </c>
      <c r="T62" s="1">
        <v>44574</v>
      </c>
      <c r="U62">
        <v>12</v>
      </c>
    </row>
    <row r="63" spans="1:24" ht="16.5" hidden="1" customHeight="1" x14ac:dyDescent="0.25">
      <c r="A63" s="3" t="s">
        <v>231</v>
      </c>
      <c r="B63" t="str">
        <f t="shared" si="5"/>
        <v>01999</v>
      </c>
      <c r="C63" t="s">
        <v>232</v>
      </c>
      <c r="D63">
        <v>11904095</v>
      </c>
      <c r="E63" t="s">
        <v>125</v>
      </c>
      <c r="F63" t="s">
        <v>126</v>
      </c>
      <c r="G63">
        <v>48</v>
      </c>
      <c r="H63" t="s">
        <v>127</v>
      </c>
      <c r="J63" s="1">
        <v>44742</v>
      </c>
      <c r="K63">
        <v>156</v>
      </c>
      <c r="M63">
        <v>0</v>
      </c>
      <c r="N63">
        <f t="shared" si="6"/>
        <v>0</v>
      </c>
      <c r="O63">
        <v>636</v>
      </c>
      <c r="P63">
        <f t="shared" si="7"/>
        <v>21</v>
      </c>
      <c r="Q63">
        <f>ROUND(G63/P63,0)</f>
        <v>2</v>
      </c>
      <c r="R63">
        <v>30</v>
      </c>
      <c r="S63" s="2" t="s">
        <v>236</v>
      </c>
      <c r="T63" s="1">
        <v>44377</v>
      </c>
      <c r="U63">
        <v>209</v>
      </c>
      <c r="V63" s="2" t="s">
        <v>234</v>
      </c>
    </row>
    <row r="64" spans="1:24" ht="16.5" hidden="1" customHeight="1" x14ac:dyDescent="0.25">
      <c r="A64" s="3" t="s">
        <v>231</v>
      </c>
      <c r="B64" t="str">
        <f t="shared" si="5"/>
        <v>01999</v>
      </c>
      <c r="C64" t="s">
        <v>232</v>
      </c>
      <c r="D64">
        <v>11904096</v>
      </c>
      <c r="E64" t="s">
        <v>128</v>
      </c>
      <c r="F64" t="s">
        <v>20</v>
      </c>
      <c r="G64">
        <v>120</v>
      </c>
      <c r="H64" t="s">
        <v>129</v>
      </c>
      <c r="J64" s="1">
        <v>44935</v>
      </c>
      <c r="K64">
        <v>349</v>
      </c>
      <c r="M64">
        <v>0</v>
      </c>
      <c r="N64">
        <f t="shared" si="6"/>
        <v>0</v>
      </c>
      <c r="O64">
        <v>1094</v>
      </c>
      <c r="P64">
        <f t="shared" si="7"/>
        <v>36</v>
      </c>
      <c r="Q64">
        <f>ROUND(G64/P64,0)</f>
        <v>3</v>
      </c>
      <c r="R64">
        <v>25</v>
      </c>
      <c r="S64" s="2" t="s">
        <v>236</v>
      </c>
      <c r="T64" s="1">
        <v>44570</v>
      </c>
      <c r="U64">
        <v>16</v>
      </c>
    </row>
    <row r="65" spans="1:24" ht="16.5" hidden="1" customHeight="1" x14ac:dyDescent="0.25">
      <c r="A65" s="3" t="s">
        <v>231</v>
      </c>
      <c r="B65" t="str">
        <f t="shared" si="5"/>
        <v>01999</v>
      </c>
      <c r="C65" t="s">
        <v>232</v>
      </c>
      <c r="D65">
        <v>11904096</v>
      </c>
      <c r="E65" t="s">
        <v>128</v>
      </c>
      <c r="F65" t="s">
        <v>20</v>
      </c>
      <c r="G65">
        <v>960</v>
      </c>
      <c r="H65" t="s">
        <v>130</v>
      </c>
      <c r="J65" s="1">
        <v>44946</v>
      </c>
      <c r="K65">
        <v>360</v>
      </c>
      <c r="M65">
        <v>0</v>
      </c>
      <c r="N65">
        <f t="shared" si="6"/>
        <v>0</v>
      </c>
      <c r="O65">
        <v>1094</v>
      </c>
      <c r="P65">
        <f t="shared" si="7"/>
        <v>36</v>
      </c>
      <c r="Q65">
        <f>ROUND(G65/P65,0)</f>
        <v>27</v>
      </c>
      <c r="R65">
        <v>25</v>
      </c>
      <c r="S65" s="2" t="s">
        <v>236</v>
      </c>
      <c r="T65" s="1">
        <v>44581</v>
      </c>
      <c r="U65">
        <v>5</v>
      </c>
    </row>
    <row r="66" spans="1:24" ht="16.5" customHeight="1" x14ac:dyDescent="0.25">
      <c r="A66" s="3" t="s">
        <v>231</v>
      </c>
      <c r="B66" t="str">
        <f t="shared" ref="B66:B97" si="11">"01999"</f>
        <v>01999</v>
      </c>
      <c r="C66" t="s">
        <v>232</v>
      </c>
      <c r="D66">
        <v>11905005</v>
      </c>
      <c r="E66" t="s">
        <v>131</v>
      </c>
      <c r="F66" t="s">
        <v>132</v>
      </c>
      <c r="G66">
        <v>12</v>
      </c>
      <c r="H66" t="s">
        <v>133</v>
      </c>
      <c r="J66" s="1">
        <v>44903</v>
      </c>
      <c r="K66">
        <v>317</v>
      </c>
      <c r="M66">
        <v>0</v>
      </c>
      <c r="N66">
        <f t="shared" ref="N66:N97" si="12">ROUND(M66/30,0)</f>
        <v>0</v>
      </c>
      <c r="P66">
        <f t="shared" ref="P66:P97" si="13">ROUND(O66/30,0)</f>
        <v>0</v>
      </c>
      <c r="Q66">
        <v>0</v>
      </c>
      <c r="R66">
        <v>18</v>
      </c>
      <c r="S66" s="2" t="s">
        <v>236</v>
      </c>
      <c r="X66" t="s">
        <v>245</v>
      </c>
    </row>
    <row r="67" spans="1:24" ht="16.5" hidden="1" customHeight="1" x14ac:dyDescent="0.25">
      <c r="A67" s="3" t="s">
        <v>231</v>
      </c>
      <c r="B67" t="str">
        <f t="shared" si="11"/>
        <v>01999</v>
      </c>
      <c r="C67" t="s">
        <v>232</v>
      </c>
      <c r="D67">
        <v>11905008</v>
      </c>
      <c r="E67" t="s">
        <v>134</v>
      </c>
      <c r="F67" t="s">
        <v>43</v>
      </c>
      <c r="G67">
        <v>96</v>
      </c>
      <c r="H67" t="s">
        <v>135</v>
      </c>
      <c r="J67" s="1">
        <v>44929</v>
      </c>
      <c r="K67">
        <v>343</v>
      </c>
      <c r="M67">
        <v>0</v>
      </c>
      <c r="N67">
        <f t="shared" si="12"/>
        <v>0</v>
      </c>
      <c r="O67">
        <v>420</v>
      </c>
      <c r="P67">
        <f t="shared" si="13"/>
        <v>14</v>
      </c>
      <c r="Q67">
        <f t="shared" ref="Q67:Q83" si="14">ROUND(G67/P67,0)</f>
        <v>7</v>
      </c>
      <c r="R67">
        <v>18</v>
      </c>
      <c r="S67" s="2" t="s">
        <v>236</v>
      </c>
      <c r="T67" s="1">
        <v>44564</v>
      </c>
      <c r="U67">
        <v>22</v>
      </c>
    </row>
    <row r="68" spans="1:24" ht="16.5" hidden="1" customHeight="1" x14ac:dyDescent="0.25">
      <c r="A68" s="3" t="s">
        <v>231</v>
      </c>
      <c r="B68" t="str">
        <f t="shared" si="11"/>
        <v>01999</v>
      </c>
      <c r="C68" t="s">
        <v>232</v>
      </c>
      <c r="D68">
        <v>11906001</v>
      </c>
      <c r="E68" t="s">
        <v>136</v>
      </c>
      <c r="F68" t="s">
        <v>43</v>
      </c>
      <c r="G68">
        <v>60</v>
      </c>
      <c r="H68" t="s">
        <v>137</v>
      </c>
      <c r="J68" s="1">
        <v>44847</v>
      </c>
      <c r="K68">
        <v>261</v>
      </c>
      <c r="M68">
        <v>0</v>
      </c>
      <c r="N68">
        <f t="shared" si="12"/>
        <v>0</v>
      </c>
      <c r="O68">
        <v>230</v>
      </c>
      <c r="P68">
        <f t="shared" si="13"/>
        <v>8</v>
      </c>
      <c r="Q68">
        <f t="shared" si="14"/>
        <v>8</v>
      </c>
      <c r="R68">
        <v>18</v>
      </c>
      <c r="S68" s="2" t="s">
        <v>236</v>
      </c>
      <c r="T68" s="1">
        <v>44482</v>
      </c>
      <c r="U68">
        <v>104</v>
      </c>
      <c r="W68" s="2" t="s">
        <v>233</v>
      </c>
    </row>
    <row r="69" spans="1:24" ht="16.5" customHeight="1" x14ac:dyDescent="0.25">
      <c r="A69" s="6" t="s">
        <v>235</v>
      </c>
      <c r="B69" t="str">
        <f t="shared" si="11"/>
        <v>01999</v>
      </c>
      <c r="C69" t="s">
        <v>232</v>
      </c>
      <c r="D69">
        <v>11906001</v>
      </c>
      <c r="E69" t="s">
        <v>136</v>
      </c>
      <c r="F69" t="s">
        <v>43</v>
      </c>
      <c r="G69">
        <v>24</v>
      </c>
      <c r="H69" t="s">
        <v>138</v>
      </c>
      <c r="J69" t="s">
        <v>139</v>
      </c>
      <c r="K69">
        <v>0</v>
      </c>
      <c r="M69">
        <v>0</v>
      </c>
      <c r="N69">
        <f t="shared" si="12"/>
        <v>0</v>
      </c>
      <c r="O69">
        <v>230</v>
      </c>
      <c r="P69">
        <f t="shared" si="13"/>
        <v>8</v>
      </c>
      <c r="Q69">
        <f t="shared" si="14"/>
        <v>3</v>
      </c>
      <c r="R69">
        <v>18</v>
      </c>
      <c r="S69" s="2" t="s">
        <v>236</v>
      </c>
      <c r="X69" t="s">
        <v>245</v>
      </c>
    </row>
    <row r="70" spans="1:24" ht="16.5" hidden="1" customHeight="1" x14ac:dyDescent="0.25">
      <c r="A70" s="3" t="s">
        <v>231</v>
      </c>
      <c r="B70" t="str">
        <f t="shared" si="11"/>
        <v>01999</v>
      </c>
      <c r="C70" t="s">
        <v>232</v>
      </c>
      <c r="D70">
        <v>11906014</v>
      </c>
      <c r="E70" t="s">
        <v>140</v>
      </c>
      <c r="F70" t="s">
        <v>43</v>
      </c>
      <c r="G70">
        <v>395</v>
      </c>
      <c r="H70" t="s">
        <v>141</v>
      </c>
      <c r="J70" s="1">
        <v>44931</v>
      </c>
      <c r="K70">
        <v>345</v>
      </c>
      <c r="M70">
        <v>0</v>
      </c>
      <c r="N70">
        <f t="shared" si="12"/>
        <v>0</v>
      </c>
      <c r="O70">
        <v>874</v>
      </c>
      <c r="P70">
        <f t="shared" si="13"/>
        <v>29</v>
      </c>
      <c r="Q70">
        <f t="shared" si="14"/>
        <v>14</v>
      </c>
      <c r="R70">
        <v>18</v>
      </c>
      <c r="S70" s="2" t="s">
        <v>236</v>
      </c>
      <c r="T70" s="1">
        <v>44566</v>
      </c>
      <c r="U70">
        <v>20</v>
      </c>
    </row>
    <row r="71" spans="1:24" ht="16.5" hidden="1" customHeight="1" x14ac:dyDescent="0.25">
      <c r="A71" s="5" t="s">
        <v>231</v>
      </c>
      <c r="B71" t="str">
        <f t="shared" si="11"/>
        <v>01999</v>
      </c>
      <c r="C71" t="s">
        <v>232</v>
      </c>
      <c r="D71">
        <v>11906015</v>
      </c>
      <c r="E71" t="s">
        <v>142</v>
      </c>
      <c r="F71" t="s">
        <v>43</v>
      </c>
      <c r="G71">
        <v>948</v>
      </c>
      <c r="H71" t="s">
        <v>143</v>
      </c>
      <c r="J71" s="1">
        <v>44935</v>
      </c>
      <c r="K71">
        <v>349</v>
      </c>
      <c r="M71">
        <v>0</v>
      </c>
      <c r="N71">
        <f t="shared" si="12"/>
        <v>0</v>
      </c>
      <c r="O71">
        <v>356</v>
      </c>
      <c r="P71">
        <f t="shared" si="13"/>
        <v>12</v>
      </c>
      <c r="Q71">
        <f t="shared" si="14"/>
        <v>79</v>
      </c>
      <c r="R71">
        <v>25</v>
      </c>
      <c r="T71" s="1">
        <v>44570</v>
      </c>
      <c r="U71">
        <v>16</v>
      </c>
    </row>
    <row r="72" spans="1:24" ht="16.5" hidden="1" customHeight="1" x14ac:dyDescent="0.25">
      <c r="A72" s="3" t="s">
        <v>231</v>
      </c>
      <c r="B72" t="str">
        <f t="shared" si="11"/>
        <v>01999</v>
      </c>
      <c r="C72" t="s">
        <v>232</v>
      </c>
      <c r="D72">
        <v>11906018</v>
      </c>
      <c r="E72" t="s">
        <v>144</v>
      </c>
      <c r="F72" t="s">
        <v>43</v>
      </c>
      <c r="G72">
        <v>120</v>
      </c>
      <c r="H72" t="s">
        <v>145</v>
      </c>
      <c r="J72" s="1">
        <v>44853</v>
      </c>
      <c r="K72">
        <v>267</v>
      </c>
      <c r="M72">
        <v>0</v>
      </c>
      <c r="N72">
        <f t="shared" si="12"/>
        <v>0</v>
      </c>
      <c r="O72">
        <v>203</v>
      </c>
      <c r="P72">
        <f t="shared" si="13"/>
        <v>7</v>
      </c>
      <c r="Q72">
        <f t="shared" si="14"/>
        <v>17</v>
      </c>
      <c r="R72">
        <v>18</v>
      </c>
      <c r="S72" s="2" t="s">
        <v>236</v>
      </c>
      <c r="T72" s="1">
        <v>44488</v>
      </c>
      <c r="U72">
        <v>98</v>
      </c>
      <c r="W72" s="2" t="s">
        <v>233</v>
      </c>
    </row>
    <row r="73" spans="1:24" ht="16.5" hidden="1" customHeight="1" x14ac:dyDescent="0.25">
      <c r="A73" s="3" t="s">
        <v>231</v>
      </c>
      <c r="B73" t="str">
        <f t="shared" si="11"/>
        <v>01999</v>
      </c>
      <c r="C73" t="s">
        <v>232</v>
      </c>
      <c r="D73">
        <v>11906020</v>
      </c>
      <c r="E73" t="s">
        <v>146</v>
      </c>
      <c r="F73" t="s">
        <v>43</v>
      </c>
      <c r="G73">
        <v>42</v>
      </c>
      <c r="H73" t="s">
        <v>147</v>
      </c>
      <c r="J73" s="1">
        <v>44939</v>
      </c>
      <c r="K73">
        <v>353</v>
      </c>
      <c r="M73">
        <v>0</v>
      </c>
      <c r="N73">
        <f t="shared" si="12"/>
        <v>0</v>
      </c>
      <c r="O73">
        <v>479</v>
      </c>
      <c r="P73">
        <f t="shared" si="13"/>
        <v>16</v>
      </c>
      <c r="Q73">
        <f t="shared" si="14"/>
        <v>3</v>
      </c>
      <c r="R73">
        <v>18</v>
      </c>
      <c r="S73" s="2" t="s">
        <v>236</v>
      </c>
      <c r="T73" s="1">
        <v>44574</v>
      </c>
      <c r="U73">
        <v>12</v>
      </c>
    </row>
    <row r="74" spans="1:24" ht="16.5" hidden="1" customHeight="1" x14ac:dyDescent="0.25">
      <c r="A74" s="3" t="s">
        <v>231</v>
      </c>
      <c r="B74" t="str">
        <f t="shared" si="11"/>
        <v>01999</v>
      </c>
      <c r="C74" t="s">
        <v>232</v>
      </c>
      <c r="D74">
        <v>11906021</v>
      </c>
      <c r="E74" t="s">
        <v>148</v>
      </c>
      <c r="F74" t="s">
        <v>73</v>
      </c>
      <c r="G74">
        <v>186</v>
      </c>
      <c r="H74" t="s">
        <v>149</v>
      </c>
      <c r="J74" s="1">
        <v>45118</v>
      </c>
      <c r="K74">
        <v>532</v>
      </c>
      <c r="L74">
        <v>600</v>
      </c>
      <c r="M74">
        <v>139</v>
      </c>
      <c r="N74">
        <f t="shared" si="12"/>
        <v>5</v>
      </c>
      <c r="O74">
        <v>390</v>
      </c>
      <c r="P74">
        <f t="shared" si="13"/>
        <v>13</v>
      </c>
      <c r="Q74">
        <f t="shared" si="14"/>
        <v>14</v>
      </c>
      <c r="R74">
        <v>30</v>
      </c>
      <c r="S74" s="2" t="s">
        <v>236</v>
      </c>
      <c r="T74" s="1">
        <v>44578</v>
      </c>
      <c r="U74">
        <v>8</v>
      </c>
    </row>
    <row r="75" spans="1:24" ht="16.5" customHeight="1" x14ac:dyDescent="0.25">
      <c r="A75" s="5" t="s">
        <v>231</v>
      </c>
      <c r="B75" t="str">
        <f t="shared" si="11"/>
        <v>01999</v>
      </c>
      <c r="C75" t="s">
        <v>232</v>
      </c>
      <c r="D75">
        <v>11907026</v>
      </c>
      <c r="E75" t="s">
        <v>150</v>
      </c>
      <c r="F75" t="s">
        <v>20</v>
      </c>
      <c r="G75">
        <v>632</v>
      </c>
      <c r="H75" t="s">
        <v>151</v>
      </c>
      <c r="J75" s="1">
        <v>45075</v>
      </c>
      <c r="K75">
        <v>489</v>
      </c>
      <c r="M75">
        <v>0</v>
      </c>
      <c r="N75">
        <f t="shared" si="12"/>
        <v>0</v>
      </c>
      <c r="O75">
        <v>132</v>
      </c>
      <c r="P75">
        <f t="shared" si="13"/>
        <v>4</v>
      </c>
      <c r="Q75">
        <f t="shared" si="14"/>
        <v>158</v>
      </c>
      <c r="R75">
        <v>30</v>
      </c>
      <c r="X75" t="s">
        <v>248</v>
      </c>
    </row>
    <row r="76" spans="1:24" ht="16.5" customHeight="1" x14ac:dyDescent="0.25">
      <c r="A76" s="5" t="s">
        <v>231</v>
      </c>
      <c r="B76" t="str">
        <f t="shared" si="11"/>
        <v>01999</v>
      </c>
      <c r="C76" t="s">
        <v>232</v>
      </c>
      <c r="D76">
        <v>11909001</v>
      </c>
      <c r="E76" t="s">
        <v>152</v>
      </c>
      <c r="F76" t="s">
        <v>153</v>
      </c>
      <c r="G76">
        <v>986</v>
      </c>
      <c r="H76" t="s">
        <v>154</v>
      </c>
      <c r="J76" s="1">
        <v>45466</v>
      </c>
      <c r="K76">
        <v>880</v>
      </c>
      <c r="L76">
        <v>8000</v>
      </c>
      <c r="M76">
        <v>1916</v>
      </c>
      <c r="N76">
        <f t="shared" si="12"/>
        <v>64</v>
      </c>
      <c r="O76">
        <v>480</v>
      </c>
      <c r="P76">
        <f t="shared" si="13"/>
        <v>16</v>
      </c>
      <c r="Q76">
        <f t="shared" si="14"/>
        <v>62</v>
      </c>
      <c r="R76">
        <v>30</v>
      </c>
      <c r="T76" s="1"/>
      <c r="X76" t="s">
        <v>250</v>
      </c>
    </row>
    <row r="77" spans="1:24" ht="16.5" hidden="1" customHeight="1" x14ac:dyDescent="0.25">
      <c r="A77" s="3" t="s">
        <v>231</v>
      </c>
      <c r="B77" t="str">
        <f t="shared" si="11"/>
        <v>01999</v>
      </c>
      <c r="C77" t="s">
        <v>232</v>
      </c>
      <c r="D77">
        <v>11909002</v>
      </c>
      <c r="E77" t="s">
        <v>155</v>
      </c>
      <c r="F77" t="s">
        <v>156</v>
      </c>
      <c r="G77">
        <v>1088</v>
      </c>
      <c r="H77" t="s">
        <v>157</v>
      </c>
      <c r="J77" s="1">
        <v>45466</v>
      </c>
      <c r="K77">
        <v>880</v>
      </c>
      <c r="M77">
        <v>0</v>
      </c>
      <c r="N77">
        <f t="shared" si="12"/>
        <v>0</v>
      </c>
      <c r="O77">
        <v>960</v>
      </c>
      <c r="P77">
        <f t="shared" si="13"/>
        <v>32</v>
      </c>
      <c r="Q77">
        <f t="shared" si="14"/>
        <v>34</v>
      </c>
      <c r="R77">
        <v>30</v>
      </c>
      <c r="S77" s="2" t="s">
        <v>236</v>
      </c>
      <c r="T77" s="1">
        <v>44371</v>
      </c>
      <c r="U77">
        <v>215</v>
      </c>
      <c r="V77" s="2" t="s">
        <v>234</v>
      </c>
    </row>
    <row r="78" spans="1:24" ht="16.5" hidden="1" customHeight="1" x14ac:dyDescent="0.25">
      <c r="A78" s="5" t="s">
        <v>231</v>
      </c>
      <c r="B78" t="str">
        <f t="shared" si="11"/>
        <v>01999</v>
      </c>
      <c r="C78" t="s">
        <v>232</v>
      </c>
      <c r="D78">
        <v>11909005</v>
      </c>
      <c r="E78" t="s">
        <v>158</v>
      </c>
      <c r="F78" t="s">
        <v>10</v>
      </c>
      <c r="G78">
        <v>6589</v>
      </c>
      <c r="H78" t="s">
        <v>159</v>
      </c>
      <c r="J78" s="1">
        <v>45652</v>
      </c>
      <c r="K78">
        <v>1066</v>
      </c>
      <c r="L78">
        <v>8000</v>
      </c>
      <c r="M78">
        <v>612</v>
      </c>
      <c r="N78">
        <f t="shared" si="12"/>
        <v>20</v>
      </c>
      <c r="O78">
        <v>2057</v>
      </c>
      <c r="P78">
        <f t="shared" si="13"/>
        <v>69</v>
      </c>
      <c r="Q78">
        <f t="shared" si="14"/>
        <v>95</v>
      </c>
      <c r="R78">
        <v>30</v>
      </c>
      <c r="T78" s="1">
        <v>44557</v>
      </c>
      <c r="U78">
        <v>29</v>
      </c>
    </row>
    <row r="79" spans="1:24" ht="16.5" customHeight="1" x14ac:dyDescent="0.25">
      <c r="A79" s="5" t="s">
        <v>231</v>
      </c>
      <c r="B79" t="str">
        <f t="shared" si="11"/>
        <v>01999</v>
      </c>
      <c r="C79" t="s">
        <v>232</v>
      </c>
      <c r="D79">
        <v>12003001</v>
      </c>
      <c r="E79" t="s">
        <v>160</v>
      </c>
      <c r="F79" t="s">
        <v>10</v>
      </c>
      <c r="G79">
        <v>1188</v>
      </c>
      <c r="H79" t="s">
        <v>161</v>
      </c>
      <c r="J79" s="1">
        <v>46082</v>
      </c>
      <c r="K79">
        <v>1496</v>
      </c>
      <c r="M79">
        <v>0</v>
      </c>
      <c r="N79">
        <f t="shared" si="12"/>
        <v>0</v>
      </c>
      <c r="O79">
        <v>554</v>
      </c>
      <c r="P79">
        <f t="shared" si="13"/>
        <v>18</v>
      </c>
      <c r="Q79">
        <f t="shared" si="14"/>
        <v>66</v>
      </c>
      <c r="R79">
        <v>30</v>
      </c>
      <c r="X79" t="s">
        <v>251</v>
      </c>
    </row>
    <row r="80" spans="1:24" ht="16.5" hidden="1" customHeight="1" x14ac:dyDescent="0.25">
      <c r="A80" s="5" t="s">
        <v>231</v>
      </c>
      <c r="B80" t="str">
        <f t="shared" si="11"/>
        <v>01999</v>
      </c>
      <c r="C80" t="s">
        <v>232</v>
      </c>
      <c r="D80">
        <v>12003050</v>
      </c>
      <c r="E80" t="s">
        <v>162</v>
      </c>
      <c r="F80" t="s">
        <v>10</v>
      </c>
      <c r="G80">
        <v>1679</v>
      </c>
      <c r="H80" t="s">
        <v>163</v>
      </c>
      <c r="J80" s="1">
        <v>45579</v>
      </c>
      <c r="K80">
        <v>993</v>
      </c>
      <c r="M80">
        <v>0</v>
      </c>
      <c r="N80">
        <f t="shared" si="12"/>
        <v>0</v>
      </c>
      <c r="O80">
        <v>144</v>
      </c>
      <c r="P80">
        <f t="shared" si="13"/>
        <v>5</v>
      </c>
      <c r="Q80">
        <f t="shared" si="14"/>
        <v>336</v>
      </c>
      <c r="R80">
        <v>30</v>
      </c>
      <c r="T80" s="1">
        <v>44484</v>
      </c>
      <c r="U80">
        <v>102</v>
      </c>
      <c r="W80" s="2" t="s">
        <v>233</v>
      </c>
    </row>
    <row r="81" spans="1:24" ht="16.5" hidden="1" customHeight="1" x14ac:dyDescent="0.25">
      <c r="A81" s="3" t="s">
        <v>231</v>
      </c>
      <c r="B81" t="str">
        <f t="shared" si="11"/>
        <v>01999</v>
      </c>
      <c r="C81" t="s">
        <v>232</v>
      </c>
      <c r="D81">
        <v>12103004</v>
      </c>
      <c r="E81" t="s">
        <v>164</v>
      </c>
      <c r="F81" t="s">
        <v>43</v>
      </c>
      <c r="G81">
        <v>414</v>
      </c>
      <c r="H81" t="s">
        <v>165</v>
      </c>
      <c r="J81" s="1">
        <v>44945</v>
      </c>
      <c r="K81">
        <v>359</v>
      </c>
      <c r="M81">
        <v>0</v>
      </c>
      <c r="N81">
        <f t="shared" si="12"/>
        <v>0</v>
      </c>
      <c r="O81">
        <v>1032</v>
      </c>
      <c r="P81">
        <f t="shared" si="13"/>
        <v>34</v>
      </c>
      <c r="Q81">
        <f t="shared" si="14"/>
        <v>12</v>
      </c>
      <c r="R81">
        <v>25</v>
      </c>
      <c r="S81" s="2" t="s">
        <v>236</v>
      </c>
      <c r="T81" s="1">
        <v>44580</v>
      </c>
      <c r="U81">
        <v>6</v>
      </c>
    </row>
    <row r="82" spans="1:24" ht="16.5" hidden="1" customHeight="1" x14ac:dyDescent="0.25">
      <c r="A82" s="3" t="s">
        <v>231</v>
      </c>
      <c r="B82" t="str">
        <f t="shared" si="11"/>
        <v>01999</v>
      </c>
      <c r="C82" t="s">
        <v>232</v>
      </c>
      <c r="D82">
        <v>12202012</v>
      </c>
      <c r="E82" t="s">
        <v>166</v>
      </c>
      <c r="F82" t="s">
        <v>167</v>
      </c>
      <c r="G82">
        <v>141</v>
      </c>
      <c r="H82" t="s">
        <v>168</v>
      </c>
      <c r="J82" s="1">
        <v>46348</v>
      </c>
      <c r="K82">
        <v>1762</v>
      </c>
      <c r="M82">
        <v>0</v>
      </c>
      <c r="N82">
        <f t="shared" si="12"/>
        <v>0</v>
      </c>
      <c r="O82">
        <v>510</v>
      </c>
      <c r="P82">
        <f t="shared" si="13"/>
        <v>17</v>
      </c>
      <c r="Q82">
        <f t="shared" si="14"/>
        <v>8</v>
      </c>
      <c r="R82">
        <v>20</v>
      </c>
      <c r="T82" s="1">
        <v>44523</v>
      </c>
      <c r="U82">
        <v>63</v>
      </c>
    </row>
    <row r="83" spans="1:24" ht="16.5" hidden="1" customHeight="1" x14ac:dyDescent="0.25">
      <c r="A83" s="5" t="s">
        <v>231</v>
      </c>
      <c r="B83" t="str">
        <f t="shared" si="11"/>
        <v>01999</v>
      </c>
      <c r="C83" t="s">
        <v>232</v>
      </c>
      <c r="D83">
        <v>12202012</v>
      </c>
      <c r="E83" t="s">
        <v>166</v>
      </c>
      <c r="F83" t="s">
        <v>167</v>
      </c>
      <c r="G83">
        <v>4344</v>
      </c>
      <c r="H83" t="s">
        <v>169</v>
      </c>
      <c r="J83" s="1">
        <v>46383</v>
      </c>
      <c r="K83">
        <v>1797</v>
      </c>
      <c r="M83">
        <v>0</v>
      </c>
      <c r="N83">
        <f t="shared" si="12"/>
        <v>0</v>
      </c>
      <c r="O83">
        <v>510</v>
      </c>
      <c r="P83">
        <f t="shared" si="13"/>
        <v>17</v>
      </c>
      <c r="Q83">
        <f t="shared" si="14"/>
        <v>256</v>
      </c>
      <c r="R83">
        <v>20</v>
      </c>
      <c r="T83" s="1">
        <v>44558</v>
      </c>
      <c r="U83">
        <v>28</v>
      </c>
    </row>
    <row r="84" spans="1:24" ht="16.5" customHeight="1" x14ac:dyDescent="0.25">
      <c r="A84" s="3" t="s">
        <v>231</v>
      </c>
      <c r="B84" t="str">
        <f t="shared" si="11"/>
        <v>01999</v>
      </c>
      <c r="C84" t="s">
        <v>232</v>
      </c>
      <c r="D84">
        <v>12301116</v>
      </c>
      <c r="E84" t="s">
        <v>171</v>
      </c>
      <c r="F84" t="s">
        <v>170</v>
      </c>
      <c r="G84">
        <v>1223</v>
      </c>
      <c r="H84" t="s">
        <v>172</v>
      </c>
      <c r="J84" s="1">
        <v>48230</v>
      </c>
      <c r="K84">
        <v>3644</v>
      </c>
      <c r="M84">
        <v>0</v>
      </c>
      <c r="N84">
        <f t="shared" si="12"/>
        <v>0</v>
      </c>
      <c r="O84">
        <v>0</v>
      </c>
      <c r="P84">
        <f t="shared" si="13"/>
        <v>0</v>
      </c>
      <c r="Q84">
        <v>0</v>
      </c>
      <c r="R84">
        <v>60</v>
      </c>
      <c r="S84" s="2" t="s">
        <v>236</v>
      </c>
      <c r="X84" s="7"/>
    </row>
    <row r="85" spans="1:24" ht="16.5" customHeight="1" x14ac:dyDescent="0.25">
      <c r="A85" s="3" t="s">
        <v>231</v>
      </c>
      <c r="B85" t="str">
        <f t="shared" si="11"/>
        <v>01999</v>
      </c>
      <c r="C85" t="s">
        <v>232</v>
      </c>
      <c r="D85">
        <v>12301116</v>
      </c>
      <c r="E85" t="s">
        <v>171</v>
      </c>
      <c r="F85" t="s">
        <v>170</v>
      </c>
      <c r="G85">
        <v>116</v>
      </c>
      <c r="H85" t="s">
        <v>173</v>
      </c>
      <c r="J85" s="1">
        <v>73050</v>
      </c>
      <c r="K85">
        <v>28464</v>
      </c>
      <c r="M85">
        <v>0</v>
      </c>
      <c r="N85">
        <f t="shared" si="12"/>
        <v>0</v>
      </c>
      <c r="O85">
        <v>0</v>
      </c>
      <c r="P85">
        <f t="shared" si="13"/>
        <v>0</v>
      </c>
      <c r="Q85">
        <v>0</v>
      </c>
      <c r="R85">
        <v>60</v>
      </c>
      <c r="S85" s="2" t="s">
        <v>236</v>
      </c>
      <c r="X85" s="7"/>
    </row>
    <row r="86" spans="1:24" ht="16.5" hidden="1" customHeight="1" x14ac:dyDescent="0.25">
      <c r="A86" s="3" t="s">
        <v>231</v>
      </c>
      <c r="B86" t="str">
        <f t="shared" si="11"/>
        <v>01999</v>
      </c>
      <c r="C86" t="s">
        <v>232</v>
      </c>
      <c r="D86">
        <v>12701003</v>
      </c>
      <c r="E86" t="s">
        <v>174</v>
      </c>
      <c r="F86" t="s">
        <v>13</v>
      </c>
      <c r="G86">
        <v>67</v>
      </c>
      <c r="H86" t="s">
        <v>175</v>
      </c>
      <c r="J86" s="1">
        <v>45279</v>
      </c>
      <c r="K86">
        <v>693</v>
      </c>
      <c r="M86">
        <v>0</v>
      </c>
      <c r="N86">
        <f t="shared" si="12"/>
        <v>0</v>
      </c>
      <c r="O86">
        <v>240</v>
      </c>
      <c r="P86">
        <f t="shared" si="13"/>
        <v>8</v>
      </c>
      <c r="Q86">
        <f>ROUND(G86/P86,0)</f>
        <v>8</v>
      </c>
      <c r="R86">
        <v>30</v>
      </c>
      <c r="S86" s="2" t="s">
        <v>236</v>
      </c>
      <c r="T86" s="1">
        <v>44549</v>
      </c>
      <c r="U86">
        <v>37</v>
      </c>
    </row>
    <row r="87" spans="1:24" ht="16.5" hidden="1" customHeight="1" x14ac:dyDescent="0.25">
      <c r="A87" s="3" t="s">
        <v>231</v>
      </c>
      <c r="B87" t="str">
        <f t="shared" si="11"/>
        <v>01999</v>
      </c>
      <c r="C87" t="s">
        <v>232</v>
      </c>
      <c r="D87">
        <v>21103001</v>
      </c>
      <c r="E87" t="s">
        <v>176</v>
      </c>
      <c r="F87" t="s">
        <v>4</v>
      </c>
      <c r="G87">
        <v>16032</v>
      </c>
      <c r="H87" t="s">
        <v>177</v>
      </c>
      <c r="J87" s="1">
        <v>45045</v>
      </c>
      <c r="K87">
        <v>459</v>
      </c>
      <c r="L87">
        <v>72000</v>
      </c>
      <c r="M87">
        <v>2491</v>
      </c>
      <c r="N87">
        <f t="shared" si="12"/>
        <v>83</v>
      </c>
      <c r="O87">
        <v>18291</v>
      </c>
      <c r="P87">
        <f t="shared" si="13"/>
        <v>610</v>
      </c>
      <c r="Q87">
        <f>ROUND(G87/P87,0)</f>
        <v>26</v>
      </c>
      <c r="R87">
        <v>30</v>
      </c>
      <c r="S87" s="2" t="s">
        <v>236</v>
      </c>
      <c r="T87" s="1">
        <v>44505</v>
      </c>
      <c r="U87">
        <v>81</v>
      </c>
    </row>
    <row r="88" spans="1:24" ht="16.5" hidden="1" customHeight="1" x14ac:dyDescent="0.25">
      <c r="A88" s="3" t="s">
        <v>231</v>
      </c>
      <c r="B88" t="str">
        <f t="shared" si="11"/>
        <v>01999</v>
      </c>
      <c r="C88" t="s">
        <v>232</v>
      </c>
      <c r="D88">
        <v>21103001</v>
      </c>
      <c r="E88" t="s">
        <v>176</v>
      </c>
      <c r="F88" t="s">
        <v>4</v>
      </c>
      <c r="G88">
        <v>17280</v>
      </c>
      <c r="H88" t="s">
        <v>178</v>
      </c>
      <c r="J88" s="1">
        <v>45104</v>
      </c>
      <c r="K88">
        <v>518</v>
      </c>
      <c r="L88">
        <v>72000</v>
      </c>
      <c r="M88">
        <v>2491</v>
      </c>
      <c r="N88">
        <f t="shared" si="12"/>
        <v>83</v>
      </c>
      <c r="O88">
        <v>18291</v>
      </c>
      <c r="P88">
        <f t="shared" si="13"/>
        <v>610</v>
      </c>
      <c r="Q88">
        <f>ROUND(G88/P88,0)</f>
        <v>28</v>
      </c>
      <c r="R88">
        <v>30</v>
      </c>
      <c r="S88" s="2" t="s">
        <v>236</v>
      </c>
      <c r="T88" s="1">
        <v>44564</v>
      </c>
      <c r="U88">
        <v>22</v>
      </c>
    </row>
    <row r="89" spans="1:24" ht="16.5" customHeight="1" x14ac:dyDescent="0.25">
      <c r="A89" s="3" t="s">
        <v>231</v>
      </c>
      <c r="B89" t="str">
        <f t="shared" si="11"/>
        <v>01999</v>
      </c>
      <c r="C89" t="s">
        <v>232</v>
      </c>
      <c r="D89">
        <v>21103015</v>
      </c>
      <c r="E89" t="s">
        <v>179</v>
      </c>
      <c r="F89" t="s">
        <v>180</v>
      </c>
      <c r="G89">
        <v>422</v>
      </c>
      <c r="H89" t="s">
        <v>181</v>
      </c>
      <c r="J89" s="1">
        <v>45045</v>
      </c>
      <c r="K89">
        <v>459</v>
      </c>
      <c r="M89">
        <v>0</v>
      </c>
      <c r="N89">
        <f t="shared" si="12"/>
        <v>0</v>
      </c>
      <c r="P89">
        <f t="shared" si="13"/>
        <v>0</v>
      </c>
      <c r="Q89">
        <v>0</v>
      </c>
      <c r="R89">
        <v>25</v>
      </c>
      <c r="S89" s="2" t="s">
        <v>236</v>
      </c>
      <c r="X89" t="s">
        <v>248</v>
      </c>
    </row>
    <row r="90" spans="1:24" ht="16.5" customHeight="1" x14ac:dyDescent="0.25">
      <c r="A90" s="3" t="s">
        <v>231</v>
      </c>
      <c r="B90" t="str">
        <f t="shared" si="11"/>
        <v>01999</v>
      </c>
      <c r="C90" t="s">
        <v>232</v>
      </c>
      <c r="D90">
        <v>21103015</v>
      </c>
      <c r="E90" t="s">
        <v>179</v>
      </c>
      <c r="F90" t="s">
        <v>180</v>
      </c>
      <c r="G90">
        <v>944</v>
      </c>
      <c r="H90" t="s">
        <v>182</v>
      </c>
      <c r="J90" s="1">
        <v>45045</v>
      </c>
      <c r="K90">
        <v>459</v>
      </c>
      <c r="M90">
        <v>0</v>
      </c>
      <c r="N90">
        <f t="shared" si="12"/>
        <v>0</v>
      </c>
      <c r="P90">
        <f t="shared" si="13"/>
        <v>0</v>
      </c>
      <c r="Q90">
        <v>0</v>
      </c>
      <c r="R90">
        <v>25</v>
      </c>
      <c r="S90" s="2" t="s">
        <v>236</v>
      </c>
      <c r="X90" t="s">
        <v>248</v>
      </c>
    </row>
    <row r="91" spans="1:24" ht="16.5" hidden="1" customHeight="1" x14ac:dyDescent="0.25">
      <c r="A91" s="5" t="s">
        <v>231</v>
      </c>
      <c r="B91" t="str">
        <f t="shared" si="11"/>
        <v>01999</v>
      </c>
      <c r="C91" t="s">
        <v>232</v>
      </c>
      <c r="D91">
        <v>21502016</v>
      </c>
      <c r="E91" t="s">
        <v>183</v>
      </c>
      <c r="F91" t="s">
        <v>10</v>
      </c>
      <c r="G91">
        <v>747</v>
      </c>
      <c r="H91" t="s">
        <v>184</v>
      </c>
      <c r="J91" s="1">
        <v>45185</v>
      </c>
      <c r="K91">
        <v>599</v>
      </c>
      <c r="M91">
        <v>0</v>
      </c>
      <c r="N91">
        <f t="shared" si="12"/>
        <v>0</v>
      </c>
      <c r="O91">
        <v>89</v>
      </c>
      <c r="P91">
        <f t="shared" si="13"/>
        <v>3</v>
      </c>
      <c r="Q91">
        <f t="shared" ref="Q91:Q101" si="15">ROUND(G91/P91,0)</f>
        <v>249</v>
      </c>
      <c r="R91">
        <v>40</v>
      </c>
      <c r="T91" s="1">
        <v>44455</v>
      </c>
      <c r="U91">
        <v>131</v>
      </c>
      <c r="W91" s="2" t="s">
        <v>233</v>
      </c>
    </row>
    <row r="92" spans="1:24" ht="16.5" hidden="1" customHeight="1" x14ac:dyDescent="0.25">
      <c r="A92" s="5" t="s">
        <v>231</v>
      </c>
      <c r="B92" t="str">
        <f t="shared" si="11"/>
        <v>01999</v>
      </c>
      <c r="C92" t="s">
        <v>232</v>
      </c>
      <c r="D92">
        <v>21701006</v>
      </c>
      <c r="E92" t="s">
        <v>185</v>
      </c>
      <c r="F92" t="s">
        <v>73</v>
      </c>
      <c r="G92">
        <v>528</v>
      </c>
      <c r="H92" t="s">
        <v>186</v>
      </c>
      <c r="J92" s="1">
        <v>45252</v>
      </c>
      <c r="K92">
        <v>666</v>
      </c>
      <c r="L92">
        <v>1500</v>
      </c>
      <c r="M92">
        <v>385</v>
      </c>
      <c r="N92">
        <f t="shared" si="12"/>
        <v>13</v>
      </c>
      <c r="O92">
        <v>202</v>
      </c>
      <c r="P92">
        <f t="shared" si="13"/>
        <v>7</v>
      </c>
      <c r="Q92">
        <f t="shared" si="15"/>
        <v>75</v>
      </c>
      <c r="R92">
        <v>30</v>
      </c>
      <c r="T92" s="1">
        <v>44522</v>
      </c>
      <c r="U92">
        <v>64</v>
      </c>
    </row>
    <row r="93" spans="1:24" ht="16.5" hidden="1" customHeight="1" x14ac:dyDescent="0.25">
      <c r="A93" s="5" t="s">
        <v>231</v>
      </c>
      <c r="B93" t="str">
        <f t="shared" si="11"/>
        <v>01999</v>
      </c>
      <c r="C93" t="s">
        <v>232</v>
      </c>
      <c r="D93">
        <v>21701007</v>
      </c>
      <c r="E93" t="s">
        <v>187</v>
      </c>
      <c r="F93" t="s">
        <v>73</v>
      </c>
      <c r="G93">
        <v>615</v>
      </c>
      <c r="H93" t="s">
        <v>188</v>
      </c>
      <c r="J93" s="1">
        <v>45251</v>
      </c>
      <c r="K93">
        <v>665</v>
      </c>
      <c r="L93">
        <v>1500</v>
      </c>
      <c r="M93">
        <v>348</v>
      </c>
      <c r="N93">
        <f t="shared" si="12"/>
        <v>12</v>
      </c>
      <c r="O93">
        <v>233</v>
      </c>
      <c r="P93">
        <f t="shared" si="13"/>
        <v>8</v>
      </c>
      <c r="Q93">
        <f t="shared" si="15"/>
        <v>77</v>
      </c>
      <c r="R93">
        <v>30</v>
      </c>
      <c r="T93" s="1">
        <v>44521</v>
      </c>
      <c r="U93">
        <v>65</v>
      </c>
    </row>
    <row r="94" spans="1:24" ht="16.5" hidden="1" customHeight="1" x14ac:dyDescent="0.25">
      <c r="A94" s="3" t="s">
        <v>231</v>
      </c>
      <c r="B94" t="str">
        <f t="shared" si="11"/>
        <v>01999</v>
      </c>
      <c r="C94" t="s">
        <v>232</v>
      </c>
      <c r="D94">
        <v>21803001</v>
      </c>
      <c r="E94" t="s">
        <v>189</v>
      </c>
      <c r="F94" t="s">
        <v>43</v>
      </c>
      <c r="G94">
        <v>203</v>
      </c>
      <c r="H94" t="s">
        <v>190</v>
      </c>
      <c r="J94" s="1">
        <v>44872</v>
      </c>
      <c r="K94">
        <v>286</v>
      </c>
      <c r="M94">
        <v>0</v>
      </c>
      <c r="N94">
        <f t="shared" si="12"/>
        <v>0</v>
      </c>
      <c r="O94">
        <v>178</v>
      </c>
      <c r="P94">
        <f t="shared" si="13"/>
        <v>6</v>
      </c>
      <c r="Q94">
        <f t="shared" si="15"/>
        <v>34</v>
      </c>
      <c r="R94">
        <v>25</v>
      </c>
      <c r="S94" s="2" t="s">
        <v>236</v>
      </c>
      <c r="T94" s="1">
        <v>44507</v>
      </c>
      <c r="U94">
        <v>79</v>
      </c>
    </row>
    <row r="95" spans="1:24" ht="16.5" hidden="1" customHeight="1" x14ac:dyDescent="0.25">
      <c r="A95" s="3" t="s">
        <v>231</v>
      </c>
      <c r="B95" t="str">
        <f t="shared" si="11"/>
        <v>01999</v>
      </c>
      <c r="C95" t="s">
        <v>232</v>
      </c>
      <c r="D95">
        <v>21803002</v>
      </c>
      <c r="E95" t="s">
        <v>191</v>
      </c>
      <c r="F95" t="s">
        <v>43</v>
      </c>
      <c r="G95">
        <v>27</v>
      </c>
      <c r="H95" t="s">
        <v>192</v>
      </c>
      <c r="J95" s="1">
        <v>44872</v>
      </c>
      <c r="K95">
        <v>286</v>
      </c>
      <c r="M95">
        <v>0</v>
      </c>
      <c r="N95">
        <f t="shared" si="12"/>
        <v>0</v>
      </c>
      <c r="O95">
        <v>211</v>
      </c>
      <c r="P95">
        <f t="shared" si="13"/>
        <v>7</v>
      </c>
      <c r="Q95">
        <f t="shared" si="15"/>
        <v>4</v>
      </c>
      <c r="R95">
        <v>25</v>
      </c>
      <c r="S95" s="2" t="s">
        <v>236</v>
      </c>
      <c r="T95" s="1">
        <v>44507</v>
      </c>
      <c r="U95">
        <v>79</v>
      </c>
    </row>
    <row r="96" spans="1:24" ht="16.5" hidden="1" customHeight="1" x14ac:dyDescent="0.25">
      <c r="A96" s="3" t="s">
        <v>231</v>
      </c>
      <c r="B96" t="str">
        <f t="shared" si="11"/>
        <v>01999</v>
      </c>
      <c r="C96" t="s">
        <v>232</v>
      </c>
      <c r="D96">
        <v>21803005</v>
      </c>
      <c r="E96" t="s">
        <v>193</v>
      </c>
      <c r="F96" t="s">
        <v>43</v>
      </c>
      <c r="G96">
        <v>148</v>
      </c>
      <c r="H96" t="s">
        <v>194</v>
      </c>
      <c r="J96" s="1">
        <v>44872</v>
      </c>
      <c r="K96">
        <v>286</v>
      </c>
      <c r="M96">
        <v>0</v>
      </c>
      <c r="N96">
        <f t="shared" si="12"/>
        <v>0</v>
      </c>
      <c r="O96">
        <v>183</v>
      </c>
      <c r="P96">
        <f t="shared" si="13"/>
        <v>6</v>
      </c>
      <c r="Q96">
        <f t="shared" si="15"/>
        <v>25</v>
      </c>
      <c r="R96">
        <v>25</v>
      </c>
      <c r="S96" s="2" t="s">
        <v>236</v>
      </c>
      <c r="T96" s="1">
        <v>44507</v>
      </c>
      <c r="U96">
        <v>79</v>
      </c>
    </row>
    <row r="97" spans="1:24" ht="16.5" hidden="1" customHeight="1" x14ac:dyDescent="0.25">
      <c r="A97" s="3" t="s">
        <v>231</v>
      </c>
      <c r="B97" t="str">
        <f t="shared" si="11"/>
        <v>01999</v>
      </c>
      <c r="C97" t="s">
        <v>232</v>
      </c>
      <c r="D97">
        <v>21903007</v>
      </c>
      <c r="E97" t="s">
        <v>195</v>
      </c>
      <c r="F97" t="s">
        <v>43</v>
      </c>
      <c r="G97">
        <v>18</v>
      </c>
      <c r="H97" t="s">
        <v>196</v>
      </c>
      <c r="J97" s="1">
        <v>44874</v>
      </c>
      <c r="K97">
        <v>288</v>
      </c>
      <c r="M97">
        <v>0</v>
      </c>
      <c r="N97">
        <f t="shared" si="12"/>
        <v>0</v>
      </c>
      <c r="O97">
        <v>410</v>
      </c>
      <c r="P97">
        <f t="shared" si="13"/>
        <v>14</v>
      </c>
      <c r="Q97">
        <f t="shared" si="15"/>
        <v>1</v>
      </c>
      <c r="R97">
        <v>25</v>
      </c>
      <c r="S97" s="2" t="s">
        <v>236</v>
      </c>
      <c r="T97" s="1">
        <v>44509</v>
      </c>
      <c r="U97">
        <v>77</v>
      </c>
    </row>
    <row r="98" spans="1:24" ht="16.5" hidden="1" customHeight="1" x14ac:dyDescent="0.25">
      <c r="A98" s="3" t="s">
        <v>231</v>
      </c>
      <c r="B98" t="str">
        <f t="shared" ref="B98:B103" si="16">"01999"</f>
        <v>01999</v>
      </c>
      <c r="C98" t="s">
        <v>232</v>
      </c>
      <c r="D98">
        <v>21903007</v>
      </c>
      <c r="E98" t="s">
        <v>195</v>
      </c>
      <c r="F98" t="s">
        <v>43</v>
      </c>
      <c r="G98">
        <v>150</v>
      </c>
      <c r="H98" t="s">
        <v>197</v>
      </c>
      <c r="J98" s="1">
        <v>44937</v>
      </c>
      <c r="K98">
        <v>351</v>
      </c>
      <c r="M98">
        <v>0</v>
      </c>
      <c r="N98">
        <f t="shared" ref="N98:N103" si="17">ROUND(M98/30,0)</f>
        <v>0</v>
      </c>
      <c r="O98">
        <v>410</v>
      </c>
      <c r="P98">
        <f t="shared" ref="P98:P103" si="18">ROUND(O98/30,0)</f>
        <v>14</v>
      </c>
      <c r="Q98">
        <f t="shared" si="15"/>
        <v>11</v>
      </c>
      <c r="R98">
        <v>25</v>
      </c>
      <c r="S98" s="2" t="s">
        <v>236</v>
      </c>
      <c r="T98" s="1">
        <v>44572</v>
      </c>
      <c r="U98">
        <v>14</v>
      </c>
    </row>
    <row r="99" spans="1:24" ht="16.5" hidden="1" customHeight="1" x14ac:dyDescent="0.25">
      <c r="A99" s="5" t="s">
        <v>231</v>
      </c>
      <c r="B99" t="str">
        <f t="shared" si="16"/>
        <v>01999</v>
      </c>
      <c r="C99" t="s">
        <v>232</v>
      </c>
      <c r="D99">
        <v>21905001</v>
      </c>
      <c r="E99" t="s">
        <v>198</v>
      </c>
      <c r="F99" t="s">
        <v>43</v>
      </c>
      <c r="G99">
        <v>438</v>
      </c>
      <c r="H99" t="s">
        <v>199</v>
      </c>
      <c r="J99" s="1">
        <v>44849</v>
      </c>
      <c r="K99">
        <v>263</v>
      </c>
      <c r="M99">
        <v>0</v>
      </c>
      <c r="N99">
        <f t="shared" si="17"/>
        <v>0</v>
      </c>
      <c r="O99">
        <v>222</v>
      </c>
      <c r="P99">
        <f t="shared" si="18"/>
        <v>7</v>
      </c>
      <c r="Q99">
        <f t="shared" si="15"/>
        <v>63</v>
      </c>
      <c r="R99">
        <v>25</v>
      </c>
      <c r="T99" s="1">
        <v>44484</v>
      </c>
      <c r="U99">
        <v>102</v>
      </c>
      <c r="W99" s="2" t="s">
        <v>233</v>
      </c>
    </row>
    <row r="100" spans="1:24" ht="16.5" customHeight="1" x14ac:dyDescent="0.25">
      <c r="A100" s="5" t="s">
        <v>231</v>
      </c>
      <c r="B100" t="str">
        <f t="shared" si="16"/>
        <v>01999</v>
      </c>
      <c r="C100" t="s">
        <v>232</v>
      </c>
      <c r="D100">
        <v>21907004</v>
      </c>
      <c r="E100" t="s">
        <v>200</v>
      </c>
      <c r="F100" t="s">
        <v>20</v>
      </c>
      <c r="G100">
        <v>611</v>
      </c>
      <c r="H100" t="s">
        <v>201</v>
      </c>
      <c r="J100" s="1">
        <v>44771</v>
      </c>
      <c r="K100">
        <v>185</v>
      </c>
      <c r="M100">
        <v>0</v>
      </c>
      <c r="N100">
        <f t="shared" si="17"/>
        <v>0</v>
      </c>
      <c r="O100">
        <v>54</v>
      </c>
      <c r="P100">
        <f t="shared" si="18"/>
        <v>2</v>
      </c>
      <c r="Q100">
        <f t="shared" si="15"/>
        <v>306</v>
      </c>
      <c r="R100">
        <v>40</v>
      </c>
      <c r="X100" t="s">
        <v>252</v>
      </c>
    </row>
    <row r="101" spans="1:24" ht="16.5" customHeight="1" x14ac:dyDescent="0.25">
      <c r="A101" s="5" t="s">
        <v>231</v>
      </c>
      <c r="B101" t="str">
        <f t="shared" si="16"/>
        <v>01999</v>
      </c>
      <c r="C101" t="s">
        <v>232</v>
      </c>
      <c r="D101">
        <v>21908003</v>
      </c>
      <c r="E101" t="s">
        <v>202</v>
      </c>
      <c r="F101" t="s">
        <v>120</v>
      </c>
      <c r="G101">
        <v>7526</v>
      </c>
      <c r="H101" t="s">
        <v>203</v>
      </c>
      <c r="J101" s="1">
        <v>45042</v>
      </c>
      <c r="K101">
        <v>456</v>
      </c>
      <c r="L101">
        <v>80000</v>
      </c>
      <c r="M101">
        <v>9360</v>
      </c>
      <c r="N101">
        <f t="shared" si="17"/>
        <v>312</v>
      </c>
      <c r="O101">
        <v>7933</v>
      </c>
      <c r="P101">
        <f t="shared" si="18"/>
        <v>264</v>
      </c>
      <c r="Q101">
        <f t="shared" si="15"/>
        <v>29</v>
      </c>
      <c r="R101">
        <v>90</v>
      </c>
      <c r="T101" s="1">
        <v>44502</v>
      </c>
      <c r="U101">
        <v>84</v>
      </c>
      <c r="X101" s="7"/>
    </row>
    <row r="102" spans="1:24" ht="16.5" customHeight="1" x14ac:dyDescent="0.25">
      <c r="A102" s="3" t="s">
        <v>231</v>
      </c>
      <c r="B102" t="str">
        <f t="shared" si="16"/>
        <v>01999</v>
      </c>
      <c r="C102" t="s">
        <v>232</v>
      </c>
      <c r="D102">
        <v>21908029</v>
      </c>
      <c r="E102" t="s">
        <v>204</v>
      </c>
      <c r="F102" t="s">
        <v>1</v>
      </c>
      <c r="G102">
        <v>833</v>
      </c>
      <c r="H102" t="s">
        <v>205</v>
      </c>
      <c r="J102" s="1">
        <v>45016</v>
      </c>
      <c r="K102">
        <v>430</v>
      </c>
      <c r="M102">
        <v>0</v>
      </c>
      <c r="N102">
        <f t="shared" si="17"/>
        <v>0</v>
      </c>
      <c r="P102">
        <f t="shared" si="18"/>
        <v>0</v>
      </c>
      <c r="Q102">
        <v>0</v>
      </c>
      <c r="R102">
        <v>30</v>
      </c>
      <c r="S102" s="2" t="s">
        <v>236</v>
      </c>
      <c r="T102" s="1">
        <v>44476</v>
      </c>
      <c r="U102">
        <v>110</v>
      </c>
      <c r="W102" s="2" t="s">
        <v>233</v>
      </c>
      <c r="X102" s="7"/>
    </row>
    <row r="103" spans="1:24" ht="16.5" hidden="1" customHeight="1" x14ac:dyDescent="0.25">
      <c r="A103" s="5" t="s">
        <v>231</v>
      </c>
      <c r="B103" t="str">
        <f t="shared" si="16"/>
        <v>01999</v>
      </c>
      <c r="C103" t="s">
        <v>232</v>
      </c>
      <c r="D103">
        <v>22710013</v>
      </c>
      <c r="E103" t="s">
        <v>206</v>
      </c>
      <c r="F103" t="s">
        <v>111</v>
      </c>
      <c r="G103">
        <v>945</v>
      </c>
      <c r="H103" t="s">
        <v>207</v>
      </c>
      <c r="J103" s="1">
        <v>45352</v>
      </c>
      <c r="K103">
        <v>766</v>
      </c>
      <c r="L103">
        <v>4800</v>
      </c>
      <c r="M103">
        <v>766</v>
      </c>
      <c r="N103">
        <f t="shared" si="17"/>
        <v>26</v>
      </c>
      <c r="O103">
        <v>222</v>
      </c>
      <c r="P103">
        <f t="shared" si="18"/>
        <v>7</v>
      </c>
      <c r="Q103">
        <f>ROUND(G103/P103,0)</f>
        <v>135</v>
      </c>
      <c r="R103">
        <v>30</v>
      </c>
      <c r="T103" s="1">
        <v>44257</v>
      </c>
      <c r="U103">
        <v>329</v>
      </c>
      <c r="V103" s="2" t="s">
        <v>234</v>
      </c>
    </row>
  </sheetData>
  <sortState ref="D2:D112">
    <sortCondition ref="D2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開發-吳佳容</cp:lastModifiedBy>
  <dcterms:created xsi:type="dcterms:W3CDTF">2022-01-25T00:45:52Z</dcterms:created>
  <dcterms:modified xsi:type="dcterms:W3CDTF">2022-01-28T06:50:42Z</dcterms:modified>
</cp:coreProperties>
</file>