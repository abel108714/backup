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9" i="1"/>
  <c r="N169"/>
  <c r="K169"/>
  <c r="J169"/>
  <c r="G169"/>
  <c r="F169"/>
  <c r="E169"/>
  <c r="D169"/>
  <c r="P168"/>
  <c r="N168"/>
  <c r="K168"/>
  <c r="J168"/>
  <c r="G168"/>
  <c r="F168"/>
  <c r="E168"/>
  <c r="D168"/>
  <c r="P167"/>
  <c r="N167"/>
  <c r="K167"/>
  <c r="J167"/>
  <c r="G167"/>
  <c r="F167"/>
  <c r="E167"/>
  <c r="D167"/>
  <c r="P166"/>
  <c r="N166"/>
  <c r="K166"/>
  <c r="J166"/>
  <c r="G166"/>
  <c r="F166"/>
  <c r="E166"/>
  <c r="D166"/>
  <c r="Q165"/>
  <c r="P165"/>
  <c r="N165"/>
  <c r="K165"/>
  <c r="J165"/>
  <c r="G165"/>
  <c r="F165"/>
  <c r="E165"/>
  <c r="D165"/>
  <c r="Q164"/>
  <c r="P164"/>
  <c r="N164"/>
  <c r="K164"/>
  <c r="J164"/>
  <c r="G164"/>
  <c r="F164"/>
  <c r="E164"/>
  <c r="D164"/>
  <c r="P163"/>
  <c r="N163"/>
  <c r="K163"/>
  <c r="J163"/>
  <c r="G163"/>
  <c r="F163"/>
  <c r="E163"/>
  <c r="D163"/>
  <c r="Q162"/>
  <c r="P162"/>
  <c r="N162"/>
  <c r="K162"/>
  <c r="J162"/>
  <c r="G162"/>
  <c r="F162"/>
  <c r="E162"/>
  <c r="D162"/>
  <c r="Q161"/>
  <c r="P161"/>
  <c r="N161"/>
  <c r="K161"/>
  <c r="J161"/>
  <c r="G16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Q158"/>
  <c r="P158"/>
  <c r="N158"/>
  <c r="K158"/>
  <c r="J158"/>
  <c r="G158"/>
  <c r="F158"/>
  <c r="E158"/>
  <c r="D158"/>
  <c r="Q157"/>
  <c r="P157"/>
  <c r="N157"/>
  <c r="K157"/>
  <c r="J157"/>
  <c r="G157"/>
  <c r="F157"/>
  <c r="E157"/>
  <c r="D157"/>
  <c r="Q156"/>
  <c r="P156"/>
  <c r="N156"/>
  <c r="K156"/>
  <c r="J156"/>
  <c r="G156"/>
  <c r="F156"/>
  <c r="E156"/>
  <c r="D156"/>
  <c r="Q155"/>
  <c r="P155"/>
  <c r="N155"/>
  <c r="K155"/>
  <c r="J155"/>
  <c r="G155"/>
  <c r="F155"/>
  <c r="E155"/>
  <c r="D155"/>
  <c r="Q154"/>
  <c r="P154"/>
  <c r="N154"/>
  <c r="K154"/>
  <c r="J154"/>
  <c r="G154"/>
  <c r="F154"/>
  <c r="E154"/>
  <c r="D154"/>
  <c r="Q153"/>
  <c r="P153"/>
  <c r="N153"/>
  <c r="K153"/>
  <c r="J153"/>
  <c r="G153"/>
  <c r="F153"/>
  <c r="E153"/>
  <c r="D153"/>
  <c r="Q152"/>
  <c r="P152"/>
  <c r="N152"/>
  <c r="K152"/>
  <c r="J152"/>
  <c r="G152"/>
  <c r="F152"/>
  <c r="E152"/>
  <c r="D152"/>
  <c r="Q151"/>
  <c r="P151"/>
  <c r="N151"/>
  <c r="K151"/>
  <c r="J151"/>
  <c r="G151"/>
  <c r="F151"/>
  <c r="E151"/>
  <c r="D151"/>
  <c r="Q150"/>
  <c r="P150"/>
  <c r="N150"/>
  <c r="K150"/>
  <c r="J150"/>
  <c r="G150"/>
  <c r="F150"/>
  <c r="E150"/>
  <c r="D150"/>
  <c r="Q149"/>
  <c r="P149"/>
  <c r="N149"/>
  <c r="K149"/>
  <c r="J149"/>
  <c r="G149"/>
  <c r="F149"/>
  <c r="E149"/>
  <c r="D149"/>
  <c r="Q148"/>
  <c r="P148"/>
  <c r="N148"/>
  <c r="K148"/>
  <c r="J148"/>
  <c r="G148"/>
  <c r="F148"/>
  <c r="E148"/>
  <c r="D148"/>
  <c r="Q147"/>
  <c r="P147"/>
  <c r="N147"/>
  <c r="K147"/>
  <c r="J147"/>
  <c r="G147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Q143"/>
  <c r="P143"/>
  <c r="N143"/>
  <c r="K143"/>
  <c r="J143"/>
  <c r="G143"/>
  <c r="F143"/>
  <c r="E143"/>
  <c r="D143"/>
  <c r="Q142"/>
  <c r="P142"/>
  <c r="N142"/>
  <c r="K142"/>
  <c r="J142"/>
  <c r="G142"/>
  <c r="F142"/>
  <c r="E142"/>
  <c r="D142"/>
  <c r="Q141"/>
  <c r="P141"/>
  <c r="N141"/>
  <c r="K141"/>
  <c r="J141"/>
  <c r="G141"/>
  <c r="F141"/>
  <c r="E141"/>
  <c r="D141"/>
  <c r="Q140"/>
  <c r="P140"/>
  <c r="N140"/>
  <c r="K140"/>
  <c r="J140"/>
  <c r="G140"/>
  <c r="F140"/>
  <c r="E140"/>
  <c r="D140"/>
  <c r="Q139"/>
  <c r="P139"/>
  <c r="N139"/>
  <c r="K139"/>
  <c r="J139"/>
  <c r="G139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Q133"/>
  <c r="P133"/>
  <c r="N133"/>
  <c r="K133"/>
  <c r="J133"/>
  <c r="G133"/>
  <c r="F133"/>
  <c r="E133"/>
  <c r="D133"/>
  <c r="Q132"/>
  <c r="P132"/>
  <c r="N132"/>
  <c r="K132"/>
  <c r="J132"/>
  <c r="G132"/>
  <c r="F132"/>
  <c r="E132"/>
  <c r="D132"/>
  <c r="Q131"/>
  <c r="P131"/>
  <c r="N131"/>
  <c r="K131"/>
  <c r="J131"/>
  <c r="G13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Q121"/>
  <c r="P121"/>
  <c r="N121"/>
  <c r="K121"/>
  <c r="J121"/>
  <c r="G12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Q118"/>
  <c r="P118"/>
  <c r="N118"/>
  <c r="K118"/>
  <c r="J118"/>
  <c r="G118"/>
  <c r="F118"/>
  <c r="E118"/>
  <c r="D118"/>
  <c r="Q117"/>
  <c r="P117"/>
  <c r="N117"/>
  <c r="K117"/>
  <c r="J117"/>
  <c r="G117"/>
  <c r="F117"/>
  <c r="E117"/>
  <c r="D117"/>
  <c r="Q116"/>
  <c r="P116"/>
  <c r="N116"/>
  <c r="K116"/>
  <c r="J116"/>
  <c r="G116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Q113"/>
  <c r="P113"/>
  <c r="N113"/>
  <c r="K113"/>
  <c r="J113"/>
  <c r="G113"/>
  <c r="F113"/>
  <c r="E113"/>
  <c r="D113"/>
  <c r="Q112"/>
  <c r="P112"/>
  <c r="N112"/>
  <c r="K112"/>
  <c r="J112"/>
  <c r="G112"/>
  <c r="F112"/>
  <c r="E112"/>
  <c r="D112"/>
  <c r="Q111"/>
  <c r="P111"/>
  <c r="N111"/>
  <c r="K111"/>
  <c r="J111"/>
  <c r="G111"/>
  <c r="F111"/>
  <c r="E111"/>
  <c r="D111"/>
  <c r="Q110"/>
  <c r="P110"/>
  <c r="N110"/>
  <c r="K110"/>
  <c r="J110"/>
  <c r="G110"/>
  <c r="F110"/>
  <c r="E110"/>
  <c r="D110"/>
  <c r="Q109"/>
  <c r="P109"/>
  <c r="N109"/>
  <c r="K109"/>
  <c r="J109"/>
  <c r="G109"/>
  <c r="F109"/>
  <c r="E109"/>
  <c r="D109"/>
  <c r="Q108"/>
  <c r="P108"/>
  <c r="N108"/>
  <c r="K108"/>
  <c r="J108"/>
  <c r="G108"/>
  <c r="F108"/>
  <c r="E108"/>
  <c r="D108"/>
  <c r="Q107"/>
  <c r="P107"/>
  <c r="N107"/>
  <c r="K107"/>
  <c r="J107"/>
  <c r="G107"/>
  <c r="F107"/>
  <c r="E107"/>
  <c r="D107"/>
  <c r="Q106"/>
  <c r="P106"/>
  <c r="N106"/>
  <c r="K106"/>
  <c r="J106"/>
  <c r="G106"/>
  <c r="F106"/>
  <c r="E106"/>
  <c r="D106"/>
  <c r="Q105"/>
  <c r="P105"/>
  <c r="N105"/>
  <c r="K105"/>
  <c r="J105"/>
  <c r="G105"/>
  <c r="F105"/>
  <c r="E105"/>
  <c r="D105"/>
  <c r="Q104"/>
  <c r="P104"/>
  <c r="N104"/>
  <c r="K104"/>
  <c r="J104"/>
  <c r="G104"/>
  <c r="F104"/>
  <c r="E104"/>
  <c r="D104"/>
  <c r="Q103"/>
  <c r="P103"/>
  <c r="N103"/>
  <c r="K103"/>
  <c r="J103"/>
  <c r="G103"/>
  <c r="F103"/>
  <c r="E103"/>
  <c r="D103"/>
  <c r="Q102"/>
  <c r="P102"/>
  <c r="N102"/>
  <c r="K102"/>
  <c r="J102"/>
  <c r="G102"/>
  <c r="F102"/>
  <c r="E102"/>
  <c r="D102"/>
  <c r="Q101"/>
  <c r="P101"/>
  <c r="N101"/>
  <c r="K101"/>
  <c r="J101"/>
  <c r="G101"/>
  <c r="F101"/>
  <c r="E101"/>
  <c r="D101"/>
  <c r="Q100"/>
  <c r="P100"/>
  <c r="N100"/>
  <c r="K100"/>
  <c r="J100"/>
  <c r="G100"/>
  <c r="F100"/>
  <c r="E100"/>
  <c r="D100"/>
  <c r="Q99"/>
  <c r="P99"/>
  <c r="N99"/>
  <c r="K99"/>
  <c r="J99"/>
  <c r="G99"/>
  <c r="F99"/>
  <c r="E99"/>
  <c r="D99"/>
  <c r="Q98"/>
  <c r="P98"/>
  <c r="N98"/>
  <c r="K98"/>
  <c r="J98"/>
  <c r="G98"/>
  <c r="F98"/>
  <c r="E98"/>
  <c r="D98"/>
  <c r="Q97"/>
  <c r="P97"/>
  <c r="N97"/>
  <c r="K97"/>
  <c r="J97"/>
  <c r="G97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Q90"/>
  <c r="P90"/>
  <c r="N90"/>
  <c r="K90"/>
  <c r="J90"/>
  <c r="G90"/>
  <c r="F90"/>
  <c r="E90"/>
  <c r="D90"/>
  <c r="Q89"/>
  <c r="P89"/>
  <c r="N89"/>
  <c r="K89"/>
  <c r="J89"/>
  <c r="G89"/>
  <c r="F89"/>
  <c r="E89"/>
  <c r="D89"/>
  <c r="Q88"/>
  <c r="P88"/>
  <c r="N88"/>
  <c r="K88"/>
  <c r="J88"/>
  <c r="G88"/>
  <c r="F88"/>
  <c r="E88"/>
  <c r="D88"/>
  <c r="Q87"/>
  <c r="P87"/>
  <c r="N87"/>
  <c r="K87"/>
  <c r="J87"/>
  <c r="G87"/>
  <c r="F87"/>
  <c r="E87"/>
  <c r="D87"/>
  <c r="Q86"/>
  <c r="P86"/>
  <c r="N86"/>
  <c r="K86"/>
  <c r="J86"/>
  <c r="G86"/>
  <c r="F86"/>
  <c r="E86"/>
  <c r="D86"/>
  <c r="Q85"/>
  <c r="P85"/>
  <c r="N85"/>
  <c r="K85"/>
  <c r="J85"/>
  <c r="G85"/>
  <c r="F85"/>
  <c r="E85"/>
  <c r="D85"/>
  <c r="Q84"/>
  <c r="P84"/>
  <c r="N84"/>
  <c r="K84"/>
  <c r="J84"/>
  <c r="G84"/>
  <c r="F84"/>
  <c r="E84"/>
  <c r="D84"/>
  <c r="Q83"/>
  <c r="P83"/>
  <c r="N83"/>
  <c r="K83"/>
  <c r="J83"/>
  <c r="G83"/>
  <c r="F83"/>
  <c r="E83"/>
  <c r="D83"/>
  <c r="Q82"/>
  <c r="P82"/>
  <c r="N82"/>
  <c r="K82"/>
  <c r="J82"/>
  <c r="G82"/>
  <c r="F82"/>
  <c r="E82"/>
  <c r="D82"/>
  <c r="Q81"/>
  <c r="P81"/>
  <c r="N81"/>
  <c r="K81"/>
  <c r="J81"/>
  <c r="G81"/>
  <c r="F81"/>
  <c r="E81"/>
  <c r="D81"/>
  <c r="Q80"/>
  <c r="P80"/>
  <c r="N80"/>
  <c r="K80"/>
  <c r="J80"/>
  <c r="G80"/>
  <c r="F80"/>
  <c r="E80"/>
  <c r="D80"/>
  <c r="Q79"/>
  <c r="P79"/>
  <c r="N79"/>
  <c r="K79"/>
  <c r="J79"/>
  <c r="G79"/>
  <c r="F79"/>
  <c r="E79"/>
  <c r="D79"/>
  <c r="Q78"/>
  <c r="P78"/>
  <c r="N78"/>
  <c r="K78"/>
  <c r="J78"/>
  <c r="G78"/>
  <c r="F78"/>
  <c r="E78"/>
  <c r="D78"/>
  <c r="Q77"/>
  <c r="P77"/>
  <c r="N77"/>
  <c r="K77"/>
  <c r="J77"/>
  <c r="G77"/>
  <c r="F77"/>
  <c r="E77"/>
  <c r="D77"/>
  <c r="Q76"/>
  <c r="P76"/>
  <c r="N76"/>
  <c r="K76"/>
  <c r="J76"/>
  <c r="G76"/>
  <c r="F76"/>
  <c r="E76"/>
  <c r="D76"/>
  <c r="Q75"/>
  <c r="P75"/>
  <c r="N75"/>
  <c r="K75"/>
  <c r="J75"/>
  <c r="G75"/>
  <c r="F75"/>
  <c r="E75"/>
  <c r="D75"/>
  <c r="Q74"/>
  <c r="P74"/>
  <c r="N74"/>
  <c r="K74"/>
  <c r="J74"/>
  <c r="G74"/>
  <c r="F74"/>
  <c r="E74"/>
  <c r="D74"/>
  <c r="Q73"/>
  <c r="P73"/>
  <c r="N73"/>
  <c r="K73"/>
  <c r="J73"/>
  <c r="G73"/>
  <c r="F73"/>
  <c r="E73"/>
  <c r="D73"/>
  <c r="Q72"/>
  <c r="P72"/>
  <c r="N72"/>
  <c r="K72"/>
  <c r="J72"/>
  <c r="G72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Q69"/>
  <c r="P69"/>
  <c r="N69"/>
  <c r="K69"/>
  <c r="J69"/>
  <c r="G69"/>
  <c r="F69"/>
  <c r="E69"/>
  <c r="D69"/>
  <c r="Q68"/>
  <c r="P68"/>
  <c r="N68"/>
  <c r="K68"/>
  <c r="J68"/>
  <c r="G68"/>
  <c r="F68"/>
  <c r="E68"/>
  <c r="D68"/>
  <c r="Q67"/>
  <c r="P67"/>
  <c r="N67"/>
  <c r="K67"/>
  <c r="J67"/>
  <c r="G67"/>
  <c r="F67"/>
  <c r="E67"/>
  <c r="D67"/>
  <c r="Q66"/>
  <c r="P66"/>
  <c r="N66"/>
  <c r="K66"/>
  <c r="J66"/>
  <c r="G66"/>
  <c r="F66"/>
  <c r="E66"/>
  <c r="D66"/>
  <c r="Q65"/>
  <c r="P65"/>
  <c r="N65"/>
  <c r="K65"/>
  <c r="J65"/>
  <c r="G65"/>
  <c r="F65"/>
  <c r="E65"/>
  <c r="D65"/>
  <c r="Q64"/>
  <c r="P64"/>
  <c r="N64"/>
  <c r="K64"/>
  <c r="J64"/>
  <c r="G64"/>
  <c r="F64"/>
  <c r="E64"/>
  <c r="D64"/>
  <c r="Q63"/>
  <c r="P63"/>
  <c r="N63"/>
  <c r="K63"/>
  <c r="J63"/>
  <c r="G63"/>
  <c r="F63"/>
  <c r="E63"/>
  <c r="D63"/>
  <c r="Q62"/>
  <c r="P62"/>
  <c r="N62"/>
  <c r="K62"/>
  <c r="J62"/>
  <c r="G62"/>
  <c r="F62"/>
  <c r="E62"/>
  <c r="D62"/>
  <c r="Q61"/>
  <c r="P61"/>
  <c r="N61"/>
  <c r="K61"/>
  <c r="J61"/>
  <c r="G6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Q58"/>
  <c r="P58"/>
  <c r="N58"/>
  <c r="K58"/>
  <c r="J58"/>
  <c r="G58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Q54"/>
  <c r="P54"/>
  <c r="N54"/>
  <c r="K54"/>
  <c r="J54"/>
  <c r="G54"/>
  <c r="F54"/>
  <c r="E54"/>
  <c r="D54"/>
  <c r="Q53"/>
  <c r="P53"/>
  <c r="N53"/>
  <c r="K53"/>
  <c r="J53"/>
  <c r="G53"/>
  <c r="F53"/>
  <c r="E53"/>
  <c r="D53"/>
  <c r="Q52"/>
  <c r="P52"/>
  <c r="N52"/>
  <c r="K52"/>
  <c r="J52"/>
  <c r="G52"/>
  <c r="F52"/>
  <c r="E52"/>
  <c r="D52"/>
  <c r="Q51"/>
  <c r="P51"/>
  <c r="N51"/>
  <c r="K51"/>
  <c r="J51"/>
  <c r="G51"/>
  <c r="F51"/>
  <c r="E51"/>
  <c r="D51"/>
  <c r="Q50"/>
  <c r="P50"/>
  <c r="N50"/>
  <c r="K50"/>
  <c r="J50"/>
  <c r="G50"/>
  <c r="F50"/>
  <c r="E50"/>
  <c r="D50"/>
  <c r="Q49"/>
  <c r="P49"/>
  <c r="N49"/>
  <c r="K49"/>
  <c r="J49"/>
  <c r="G49"/>
  <c r="F49"/>
  <c r="E49"/>
  <c r="D49"/>
  <c r="Q48"/>
  <c r="P48"/>
  <c r="N48"/>
  <c r="K48"/>
  <c r="J48"/>
  <c r="G48"/>
  <c r="F48"/>
  <c r="E48"/>
  <c r="D48"/>
  <c r="Q47"/>
  <c r="P47"/>
  <c r="N47"/>
  <c r="K47"/>
  <c r="J47"/>
  <c r="G47"/>
  <c r="F47"/>
  <c r="E47"/>
  <c r="D47"/>
  <c r="Q46"/>
  <c r="P46"/>
  <c r="N46"/>
  <c r="K46"/>
  <c r="J46"/>
  <c r="G46"/>
  <c r="F46"/>
  <c r="E46"/>
  <c r="D46"/>
  <c r="Q45"/>
  <c r="P45"/>
  <c r="N45"/>
  <c r="K45"/>
  <c r="J45"/>
  <c r="G45"/>
  <c r="F45"/>
  <c r="E45"/>
  <c r="D45"/>
  <c r="Q44"/>
  <c r="P44"/>
  <c r="N44"/>
  <c r="K44"/>
  <c r="J44"/>
  <c r="G44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Q39"/>
  <c r="P39"/>
  <c r="N39"/>
  <c r="K39"/>
  <c r="J39"/>
  <c r="G39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Q36"/>
  <c r="P36"/>
  <c r="N36"/>
  <c r="K36"/>
  <c r="J36"/>
  <c r="G36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Q32"/>
  <c r="P32"/>
  <c r="N32"/>
  <c r="K32"/>
  <c r="J32"/>
  <c r="G32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Q22"/>
  <c r="P22"/>
  <c r="N22"/>
  <c r="K22"/>
  <c r="J22"/>
  <c r="G22"/>
  <c r="F22"/>
  <c r="E22"/>
  <c r="D22"/>
  <c r="Q21"/>
  <c r="P21"/>
  <c r="N21"/>
  <c r="K21"/>
  <c r="J21"/>
  <c r="G21"/>
  <c r="F21"/>
  <c r="E21"/>
  <c r="D21"/>
  <c r="Q20"/>
  <c r="P20"/>
  <c r="N20"/>
  <c r="K20"/>
  <c r="J20"/>
  <c r="G20"/>
  <c r="F20"/>
  <c r="E20"/>
  <c r="D20"/>
  <c r="Q19"/>
  <c r="P19"/>
  <c r="N19"/>
  <c r="K19"/>
  <c r="J19"/>
  <c r="G19"/>
  <c r="F19"/>
  <c r="E19"/>
  <c r="D19"/>
  <c r="Q18"/>
  <c r="P18"/>
  <c r="N18"/>
  <c r="K18"/>
  <c r="J18"/>
  <c r="G18"/>
  <c r="F18"/>
  <c r="E18"/>
  <c r="D18"/>
  <c r="Q17"/>
  <c r="P17"/>
  <c r="N17"/>
  <c r="K17"/>
  <c r="J17"/>
  <c r="G17"/>
  <c r="F17"/>
  <c r="E17"/>
  <c r="D17"/>
  <c r="Q16"/>
  <c r="P16"/>
  <c r="N16"/>
  <c r="K16"/>
  <c r="J16"/>
  <c r="G16"/>
  <c r="F16"/>
  <c r="E16"/>
  <c r="D16"/>
  <c r="Q15"/>
  <c r="P15"/>
  <c r="N15"/>
  <c r="K15"/>
  <c r="J15"/>
  <c r="G15"/>
  <c r="F15"/>
  <c r="E15"/>
  <c r="D15"/>
  <c r="Q14"/>
  <c r="P14"/>
  <c r="N14"/>
  <c r="K14"/>
  <c r="J14"/>
  <c r="G14"/>
  <c r="F14"/>
  <c r="E14"/>
  <c r="D14"/>
  <c r="Q13"/>
  <c r="P13"/>
  <c r="N13"/>
  <c r="K13"/>
  <c r="J13"/>
  <c r="G13"/>
  <c r="F13"/>
  <c r="E13"/>
  <c r="D13"/>
  <c r="Q12"/>
  <c r="P12"/>
  <c r="N12"/>
  <c r="K12"/>
  <c r="J12"/>
  <c r="G12"/>
  <c r="F12"/>
  <c r="E12"/>
  <c r="D12"/>
  <c r="Q11"/>
  <c r="P11"/>
  <c r="N11"/>
  <c r="K11"/>
  <c r="J11"/>
  <c r="G11"/>
  <c r="F11"/>
  <c r="E11"/>
  <c r="D11"/>
  <c r="Q10"/>
  <c r="P10"/>
  <c r="N10"/>
  <c r="K10"/>
  <c r="J10"/>
  <c r="G10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Q7"/>
  <c r="P7"/>
  <c r="N7"/>
  <c r="K7"/>
  <c r="J7"/>
  <c r="G7"/>
  <c r="F7"/>
  <c r="E7"/>
  <c r="D7"/>
  <c r="Q6"/>
  <c r="P6"/>
  <c r="N6"/>
  <c r="K6"/>
  <c r="J6"/>
  <c r="G6"/>
  <c r="F6"/>
  <c r="E6"/>
  <c r="D6"/>
  <c r="Q5"/>
  <c r="P5"/>
  <c r="N5"/>
  <c r="K5"/>
  <c r="J5"/>
  <c r="G5"/>
  <c r="F5"/>
  <c r="E5"/>
  <c r="D5"/>
  <c r="Q4"/>
  <c r="P4"/>
  <c r="N4"/>
  <c r="K4"/>
  <c r="J4"/>
  <c r="G4"/>
  <c r="F4"/>
  <c r="E4"/>
  <c r="D4"/>
  <c r="Q3"/>
  <c r="P3"/>
  <c r="N3"/>
  <c r="K3"/>
  <c r="J3"/>
  <c r="G3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<sst xmlns="http://schemas.openxmlformats.org/spreadsheetml/2006/main" count="314" uniqueCount="28">
  <si>
    <t>品號</t>
  </si>
  <si>
    <t>品名</t>
  </si>
  <si>
    <t>到貨天數</t>
  </si>
  <si>
    <t>燈號</t>
  </si>
  <si>
    <t>庫別</t>
  </si>
  <si>
    <t>庫別名稱</t>
  </si>
  <si>
    <t>包裝方式</t>
  </si>
  <si>
    <t>庫存數量</t>
  </si>
  <si>
    <t>安全庫存水位</t>
  </si>
  <si>
    <t>保存期限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</si>
  <si>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</si>
  <si>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</si>
  <si>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</si>
  <si>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</si>
  <si>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</si>
  <si>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</si>
  <si>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</si>
  <si>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</si>
  <si>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</si>
  <si>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</si>
  <si>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</si>
  <si>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</si>
  <si>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</si>
  <si>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</si>
  <si>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</si>
  <si>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</si>
  <si>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</si>
  <si>
    <t>●</t>
    <phoneticPr fontId="1" type="noConversion"/>
  </si>
</sst>
</file>

<file path=xl/styles.xml><?xml version="1.0" encoding="utf-8"?>
<styleSheet xmlns="http://schemas.openxmlformats.org/spreadsheetml/2006/main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rgb="FFFFC000"/>
      <name val="新細明體"/>
      <family val="2"/>
      <charset val="136"/>
      <scheme val="minor"/>
    </font>
    <font>
      <sz val="12"/>
      <color rgb="FFFFC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  <row r="167">
          <cell r="A167">
            <v>70206023</v>
          </cell>
          <cell r="B167" t="str">
            <v>禮袋*3 – 有機園(紅色大)</v>
          </cell>
          <cell r="C167" t="str">
            <v>100組/箱</v>
          </cell>
          <cell r="D167">
            <v>24</v>
          </cell>
          <cell r="G167">
            <v>47848</v>
          </cell>
          <cell r="K167">
            <v>3711</v>
          </cell>
        </row>
        <row r="168">
          <cell r="A168">
            <v>70206023</v>
          </cell>
          <cell r="B168" t="str">
            <v>禮袋*3 – 有機園(紅色大)</v>
          </cell>
          <cell r="C168" t="str">
            <v>100組/箱</v>
          </cell>
          <cell r="D168">
            <v>67</v>
          </cell>
          <cell r="G168">
            <v>72737</v>
          </cell>
          <cell r="K168">
            <v>28600</v>
          </cell>
        </row>
        <row r="169">
          <cell r="A169">
            <v>70206024</v>
          </cell>
          <cell r="B169" t="str">
            <v>禮袋*3 – 有機園(紅色小)</v>
          </cell>
          <cell r="C169" t="str">
            <v>100組/箱</v>
          </cell>
          <cell r="D169">
            <v>97</v>
          </cell>
          <cell r="G169">
            <v>72737</v>
          </cell>
          <cell r="K169">
            <v>28600</v>
          </cell>
        </row>
        <row r="170">
          <cell r="A170">
            <v>70303719</v>
          </cell>
          <cell r="B170" t="str">
            <v>貼紙-安心好物市集外箱貼紙</v>
          </cell>
          <cell r="C170" t="str">
            <v>200張/束</v>
          </cell>
          <cell r="D170">
            <v>121</v>
          </cell>
          <cell r="G170">
            <v>44377</v>
          </cell>
          <cell r="K170">
            <v>240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9"/>
  <sheetViews>
    <sheetView tabSelected="1" workbookViewId="0">
      <pane ySplit="1" topLeftCell="A2" activePane="bottomLeft" state="frozenSplit"/>
      <selection pane="bottomLeft" activeCell="A7" sqref="A7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9" hidden="1" customWidth="1"/>
    <col min="10" max="10" width="14.875" customWidth="1"/>
    <col min="11" max="11" width="14.875" hidden="1" customWidth="1"/>
    <col min="12" max="12" width="12.125" style="8" hidden="1" customWidth="1"/>
    <col min="13" max="14" width="9" style="8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3" t="s">
        <v>3</v>
      </c>
      <c r="B1" s="3" t="s">
        <v>4</v>
      </c>
      <c r="C1" s="3" t="s">
        <v>5</v>
      </c>
      <c r="D1" s="3" t="s">
        <v>0</v>
      </c>
      <c r="E1" s="3" t="s">
        <v>1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7" t="s">
        <v>12</v>
      </c>
      <c r="M1" s="7" t="s">
        <v>13</v>
      </c>
      <c r="N1" s="7" t="s">
        <v>14</v>
      </c>
      <c r="O1" s="3" t="s">
        <v>15</v>
      </c>
      <c r="P1" s="3" t="s">
        <v>16</v>
      </c>
      <c r="Q1" s="3" t="s">
        <v>17</v>
      </c>
      <c r="R1" s="3" t="s">
        <v>2</v>
      </c>
    </row>
    <row r="2" spans="1:18" ht="16.5" customHeight="1">
      <c r="A2" s="6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4">
        <f>'[1]20201030百及庫存表'!G3</f>
        <v>44455</v>
      </c>
      <c r="K2">
        <f>'[1]20201030百及庫存表'!K3</f>
        <v>318</v>
      </c>
      <c r="M2" s="8">
        <v>0</v>
      </c>
      <c r="N2" s="8">
        <f>ROUND(M2/30,0)</f>
        <v>0</v>
      </c>
      <c r="O2">
        <v>87</v>
      </c>
      <c r="P2">
        <f>ROUND(O2/30,0)</f>
        <v>3</v>
      </c>
      <c r="Q2">
        <f>ROUND(G2/P2,0)</f>
        <v>98</v>
      </c>
      <c r="R2">
        <v>18</v>
      </c>
    </row>
    <row r="3" spans="1:18" ht="16.5" customHeight="1">
      <c r="A3" s="5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4">
        <f>'[1]20201030百及庫存表'!G4</f>
        <v>44344</v>
      </c>
      <c r="K3">
        <f>'[1]20201030百及庫存表'!K4</f>
        <v>207</v>
      </c>
      <c r="M3" s="8">
        <v>0</v>
      </c>
      <c r="N3" s="8">
        <f>ROUND(M3/30,0)</f>
        <v>0</v>
      </c>
      <c r="O3">
        <v>263</v>
      </c>
      <c r="P3">
        <f>ROUND(O3/30,0)</f>
        <v>9</v>
      </c>
      <c r="Q3">
        <f>ROUND(G3/P3,0)</f>
        <v>4</v>
      </c>
      <c r="R3">
        <v>25</v>
      </c>
    </row>
    <row r="4" spans="1:18" ht="16.5" customHeight="1">
      <c r="A4" s="6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4">
        <f>'[1]20201030百及庫存表'!G5</f>
        <v>44475</v>
      </c>
      <c r="K4">
        <f>'[1]20201030百及庫存表'!K5</f>
        <v>338</v>
      </c>
      <c r="M4" s="8">
        <v>0</v>
      </c>
      <c r="N4" s="8">
        <f>ROUND(M4/30,0)</f>
        <v>0</v>
      </c>
      <c r="O4">
        <v>263</v>
      </c>
      <c r="P4">
        <f>ROUND(O4/30,0)</f>
        <v>9</v>
      </c>
      <c r="Q4">
        <f>ROUND(G4/P4,0)</f>
        <v>133</v>
      </c>
      <c r="R4">
        <v>25</v>
      </c>
    </row>
    <row r="5" spans="1:18" ht="16.5" customHeight="1">
      <c r="A5" s="6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4">
        <f>'[1]20201030百及庫存表'!G6</f>
        <v>44434</v>
      </c>
      <c r="K5">
        <f>'[1]20201030百及庫存表'!K6</f>
        <v>297</v>
      </c>
      <c r="L5" s="8">
        <v>24000</v>
      </c>
      <c r="M5" s="8">
        <v>137</v>
      </c>
      <c r="N5" s="8">
        <f>ROUND(M5/30,0)</f>
        <v>5</v>
      </c>
      <c r="O5">
        <v>5260</v>
      </c>
      <c r="P5">
        <f>ROUND(O5/30,0)</f>
        <v>175</v>
      </c>
      <c r="Q5">
        <f>ROUND(G5/P5,0)</f>
        <v>78</v>
      </c>
      <c r="R5">
        <v>30</v>
      </c>
    </row>
    <row r="6" spans="1:18" ht="16.5" customHeight="1">
      <c r="A6" s="5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4">
        <f>'[1]20201030百及庫存表'!G7</f>
        <v>44435</v>
      </c>
      <c r="K6">
        <f>'[1]20201030百及庫存表'!K7</f>
        <v>298</v>
      </c>
      <c r="L6" s="8">
        <v>24000</v>
      </c>
      <c r="M6" s="8">
        <v>81</v>
      </c>
      <c r="N6" s="8">
        <f>ROUND(M6/30,0)</f>
        <v>3</v>
      </c>
      <c r="O6">
        <v>8839</v>
      </c>
      <c r="P6">
        <f>ROUND(O6/30,0)</f>
        <v>295</v>
      </c>
      <c r="Q6">
        <f>ROUND(G6/P6,0)</f>
        <v>11</v>
      </c>
      <c r="R6">
        <v>30</v>
      </c>
    </row>
    <row r="7" spans="1:18" ht="16.5" customHeight="1">
      <c r="A7" s="9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4">
        <f>'[1]20201030百及庫存表'!G8</f>
        <v>44480</v>
      </c>
      <c r="K7">
        <f>'[1]20201030百及庫存表'!K8</f>
        <v>343</v>
      </c>
      <c r="L7" s="8">
        <v>24000</v>
      </c>
      <c r="M7" s="8">
        <v>81</v>
      </c>
      <c r="N7" s="8">
        <f>ROUND(M7/30,0)</f>
        <v>3</v>
      </c>
      <c r="O7">
        <v>8839</v>
      </c>
      <c r="P7">
        <f>ROUND(O7/30,0)</f>
        <v>295</v>
      </c>
      <c r="Q7">
        <f>ROUND(G7/P7,0)</f>
        <v>39</v>
      </c>
      <c r="R7">
        <v>30</v>
      </c>
    </row>
    <row r="8" spans="1:18" ht="16.5" customHeight="1">
      <c r="A8" s="5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4">
        <f>'[1]20201030百及庫存表'!G9</f>
        <v>44440</v>
      </c>
      <c r="K8">
        <f>'[1]20201030百及庫存表'!K9</f>
        <v>303</v>
      </c>
      <c r="M8" s="8">
        <v>0</v>
      </c>
      <c r="N8" s="8">
        <f>ROUND(M8/30,0)</f>
        <v>0</v>
      </c>
      <c r="P8">
        <f>ROUND(O8/30,0)</f>
        <v>0</v>
      </c>
      <c r="Q8">
        <v>0</v>
      </c>
      <c r="R8">
        <v>30</v>
      </c>
    </row>
    <row r="9" spans="1:18" ht="16.5" customHeight="1">
      <c r="A9" s="5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4">
        <f>'[1]20201030百及庫存表'!G10</f>
        <v>44459</v>
      </c>
      <c r="K9">
        <f>'[1]20201030百及庫存表'!K10</f>
        <v>322</v>
      </c>
      <c r="M9" s="8">
        <v>0</v>
      </c>
      <c r="N9" s="8">
        <f>ROUND(M9/30,0)</f>
        <v>0</v>
      </c>
      <c r="O9">
        <v>2668</v>
      </c>
      <c r="P9">
        <f>ROUND(O9/30,0)</f>
        <v>89</v>
      </c>
      <c r="Q9">
        <f>ROUND(G9/P9,0)</f>
        <v>10</v>
      </c>
      <c r="R9">
        <v>30</v>
      </c>
    </row>
    <row r="10" spans="1:18" ht="16.5" customHeight="1">
      <c r="A10" s="5" t="s">
        <v>27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4">
        <f>'[1]20201030百及庫存表'!G11</f>
        <v>44187</v>
      </c>
      <c r="K10">
        <f>'[1]20201030百及庫存表'!K11</f>
        <v>50</v>
      </c>
      <c r="M10" s="8">
        <v>0</v>
      </c>
      <c r="N10" s="8">
        <f>ROUND(M10/30,0)</f>
        <v>0</v>
      </c>
      <c r="O10">
        <v>211</v>
      </c>
      <c r="P10">
        <f>ROUND(O10/30,0)</f>
        <v>7</v>
      </c>
      <c r="Q10">
        <f>ROUND(G10/P10,0)</f>
        <v>29</v>
      </c>
      <c r="R10">
        <v>30</v>
      </c>
    </row>
    <row r="11" spans="1:18" ht="16.5" customHeight="1">
      <c r="A11" s="6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4">
        <f>'[1]20201030百及庫存表'!G12</f>
        <v>44438</v>
      </c>
      <c r="K11">
        <f>'[1]20201030百及庫存表'!K12</f>
        <v>301</v>
      </c>
      <c r="M11" s="8">
        <v>0</v>
      </c>
      <c r="N11" s="8">
        <f>ROUND(M11/30,0)</f>
        <v>0</v>
      </c>
      <c r="O11">
        <v>656</v>
      </c>
      <c r="P11">
        <f>ROUND(O11/30,0)</f>
        <v>22</v>
      </c>
      <c r="Q11">
        <f>ROUND(G11/P11,0)</f>
        <v>336</v>
      </c>
      <c r="R11">
        <v>30</v>
      </c>
    </row>
    <row r="12" spans="1:18" ht="16.5" customHeight="1">
      <c r="A12" s="5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4">
        <f>'[1]20201030百及庫存表'!G13</f>
        <v>44402</v>
      </c>
      <c r="K12">
        <f>'[1]20201030百及庫存表'!K13</f>
        <v>265</v>
      </c>
      <c r="L12" s="8">
        <v>600</v>
      </c>
      <c r="M12" s="8">
        <v>66</v>
      </c>
      <c r="N12" s="8">
        <f>ROUND(M12/30,0)</f>
        <v>2</v>
      </c>
      <c r="O12">
        <v>273</v>
      </c>
      <c r="P12">
        <f>ROUND(O12/30,0)</f>
        <v>9</v>
      </c>
      <c r="Q12">
        <f>ROUND(G12/P12,0)</f>
        <v>29</v>
      </c>
      <c r="R12">
        <v>30</v>
      </c>
    </row>
    <row r="13" spans="1:18" ht="16.5" customHeight="1">
      <c r="A13" s="5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4">
        <f>'[1]20201030百及庫存表'!G14</f>
        <v>44423</v>
      </c>
      <c r="K13">
        <f>'[1]20201030百及庫存表'!K14</f>
        <v>286</v>
      </c>
      <c r="L13" s="8">
        <v>600</v>
      </c>
      <c r="M13" s="8">
        <v>32</v>
      </c>
      <c r="N13" s="8">
        <f>ROUND(M13/30,0)</f>
        <v>1</v>
      </c>
      <c r="O13">
        <v>563</v>
      </c>
      <c r="P13">
        <f>ROUND(O13/30,0)</f>
        <v>19</v>
      </c>
      <c r="Q13">
        <f>ROUND(G13/P13,0)</f>
        <v>5</v>
      </c>
      <c r="R13">
        <v>30</v>
      </c>
    </row>
    <row r="14" spans="1:18" ht="16.5" customHeight="1">
      <c r="A14" s="5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4">
        <f>'[1]20201030百及庫存表'!G15</f>
        <v>44474</v>
      </c>
      <c r="K14">
        <f>'[1]20201030百及庫存表'!K15</f>
        <v>337</v>
      </c>
      <c r="L14" s="8">
        <v>600</v>
      </c>
      <c r="M14" s="8">
        <v>32</v>
      </c>
      <c r="N14" s="8">
        <f>ROUND(M14/30,0)</f>
        <v>1</v>
      </c>
      <c r="O14">
        <v>563</v>
      </c>
      <c r="P14">
        <f>ROUND(O14/30,0)</f>
        <v>19</v>
      </c>
      <c r="Q14">
        <f>ROUND(G14/P14,0)</f>
        <v>32</v>
      </c>
      <c r="R14">
        <v>30</v>
      </c>
    </row>
    <row r="15" spans="1:18" ht="16.5" customHeight="1">
      <c r="A15" s="5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4">
        <f>'[1]20201030百及庫存表'!G16</f>
        <v>44411</v>
      </c>
      <c r="K15">
        <f>'[1]20201030百及庫存表'!K16</f>
        <v>274</v>
      </c>
      <c r="L15" s="8">
        <v>20000</v>
      </c>
      <c r="M15" s="8">
        <v>46</v>
      </c>
      <c r="N15" s="8">
        <f>ROUND(M15/30,0)</f>
        <v>2</v>
      </c>
      <c r="O15">
        <v>13027</v>
      </c>
      <c r="P15">
        <f>ROUND(O15/30,0)</f>
        <v>434</v>
      </c>
      <c r="Q15">
        <f>ROUND(G15/P15,0)</f>
        <v>6</v>
      </c>
      <c r="R15">
        <v>25</v>
      </c>
    </row>
    <row r="16" spans="1:18" ht="16.5" customHeight="1">
      <c r="A16" s="5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4">
        <f>'[1]20201030百及庫存表'!G17</f>
        <v>44440</v>
      </c>
      <c r="K16">
        <f>'[1]20201030百及庫存表'!K17</f>
        <v>303</v>
      </c>
      <c r="L16" s="8">
        <v>20000</v>
      </c>
      <c r="M16" s="8">
        <v>46</v>
      </c>
      <c r="N16" s="8">
        <f>ROUND(M16/30,0)</f>
        <v>2</v>
      </c>
      <c r="O16">
        <v>13027</v>
      </c>
      <c r="P16">
        <f>ROUND(O16/30,0)</f>
        <v>434</v>
      </c>
      <c r="Q16">
        <f>ROUND(G16/P16,0)</f>
        <v>34</v>
      </c>
      <c r="R16">
        <v>25</v>
      </c>
    </row>
    <row r="17" spans="1:18" ht="16.5" customHeight="1">
      <c r="A17" s="6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4">
        <f>'[1]20201030百及庫存表'!G18</f>
        <v>44433</v>
      </c>
      <c r="K17">
        <f>'[1]20201030百及庫存表'!K18</f>
        <v>296</v>
      </c>
      <c r="M17" s="8">
        <v>0</v>
      </c>
      <c r="N17" s="8">
        <f>ROUND(M17/30,0)</f>
        <v>0</v>
      </c>
      <c r="O17">
        <v>1117</v>
      </c>
      <c r="P17">
        <f>ROUND(O17/30,0)</f>
        <v>37</v>
      </c>
      <c r="Q17">
        <f>ROUND(G17/P17,0)</f>
        <v>80</v>
      </c>
      <c r="R17">
        <v>25</v>
      </c>
    </row>
    <row r="18" spans="1:18" ht="16.5" customHeight="1">
      <c r="A18" s="5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4">
        <f>'[1]20201030百及庫存表'!G19</f>
        <v>44446</v>
      </c>
      <c r="K18">
        <f>'[1]20201030百及庫存表'!K19</f>
        <v>309</v>
      </c>
      <c r="M18" s="8">
        <v>0</v>
      </c>
      <c r="N18" s="8">
        <f>ROUND(M18/30,0)</f>
        <v>0</v>
      </c>
      <c r="O18">
        <v>606</v>
      </c>
      <c r="P18">
        <f>ROUND(O18/30,0)</f>
        <v>20</v>
      </c>
      <c r="Q18">
        <f>ROUND(G18/P18,0)</f>
        <v>10</v>
      </c>
      <c r="R18">
        <v>25</v>
      </c>
    </row>
    <row r="19" spans="1:18" ht="16.5" customHeight="1">
      <c r="A19" s="6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4">
        <f>'[1]20201030百及庫存表'!G20</f>
        <v>44556</v>
      </c>
      <c r="K19">
        <f>'[1]20201030百及庫存表'!K20</f>
        <v>419</v>
      </c>
      <c r="M19" s="8">
        <v>0</v>
      </c>
      <c r="N19" s="8">
        <f>ROUND(M19/30,0)</f>
        <v>0</v>
      </c>
      <c r="O19">
        <v>606</v>
      </c>
      <c r="P19">
        <f>ROUND(O19/30,0)</f>
        <v>20</v>
      </c>
      <c r="Q19">
        <f>ROUND(G19/P19,0)</f>
        <v>119</v>
      </c>
      <c r="R19">
        <v>25</v>
      </c>
    </row>
    <row r="20" spans="1:18" ht="16.5" customHeight="1">
      <c r="A20" s="5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4">
        <f>'[1]20201030百及庫存表'!G21</f>
        <v>44445</v>
      </c>
      <c r="K20">
        <f>'[1]20201030百及庫存表'!K21</f>
        <v>308</v>
      </c>
      <c r="M20" s="8">
        <v>0</v>
      </c>
      <c r="N20" s="8">
        <f>ROUND(M20/30,0)</f>
        <v>0</v>
      </c>
      <c r="O20">
        <v>14733</v>
      </c>
      <c r="P20">
        <f>ROUND(O20/30,0)</f>
        <v>491</v>
      </c>
      <c r="Q20">
        <f>ROUND(G20/P20,0)</f>
        <v>0</v>
      </c>
      <c r="R20">
        <v>25</v>
      </c>
    </row>
    <row r="21" spans="1:18" ht="16.5" customHeight="1">
      <c r="A21" s="5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4">
        <f>'[1]20201030百及庫存表'!G22</f>
        <v>44483</v>
      </c>
      <c r="K21">
        <f>'[1]20201030百及庫存表'!K22</f>
        <v>346</v>
      </c>
      <c r="M21" s="8">
        <v>0</v>
      </c>
      <c r="N21" s="8">
        <f>ROUND(M21/30,0)</f>
        <v>0</v>
      </c>
      <c r="O21">
        <v>14733</v>
      </c>
      <c r="P21">
        <f>ROUND(O21/30,0)</f>
        <v>491</v>
      </c>
      <c r="Q21">
        <f>ROUND(G21/P21,0)</f>
        <v>14</v>
      </c>
      <c r="R21">
        <v>25</v>
      </c>
    </row>
    <row r="22" spans="1:18" ht="16.5" customHeight="1">
      <c r="A22" s="5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4">
        <f>'[1]20201030百及庫存表'!G23</f>
        <v>44496</v>
      </c>
      <c r="K22">
        <f>'[1]20201030百及庫存表'!K23</f>
        <v>359</v>
      </c>
      <c r="M22" s="8">
        <v>0</v>
      </c>
      <c r="N22" s="8">
        <f>ROUND(M22/30,0)</f>
        <v>0</v>
      </c>
      <c r="O22">
        <v>14733</v>
      </c>
      <c r="P22">
        <f>ROUND(O22/30,0)</f>
        <v>491</v>
      </c>
      <c r="Q22">
        <f>ROUND(G22/P22,0)</f>
        <v>21</v>
      </c>
      <c r="R22">
        <v>25</v>
      </c>
    </row>
    <row r="23" spans="1:18" ht="16.5" customHeight="1">
      <c r="A23" s="5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4">
        <f>'[1]20201030百及庫存表'!G24</f>
        <v>44401</v>
      </c>
      <c r="K23">
        <f>'[1]20201030百及庫存表'!K24</f>
        <v>264</v>
      </c>
      <c r="M23" s="8">
        <v>0</v>
      </c>
      <c r="N23" s="8">
        <f>ROUND(M23/30,0)</f>
        <v>0</v>
      </c>
      <c r="O23">
        <v>1179</v>
      </c>
      <c r="P23">
        <f>ROUND(O23/30,0)</f>
        <v>39</v>
      </c>
      <c r="Q23">
        <f>ROUND(G23/P23,0)</f>
        <v>9</v>
      </c>
      <c r="R23">
        <v>25</v>
      </c>
    </row>
    <row r="24" spans="1:18" ht="16.5" customHeight="1">
      <c r="A24" s="5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4">
        <f>'[1]20201030百及庫存表'!G25</f>
        <v>44385</v>
      </c>
      <c r="K24">
        <f>'[1]20201030百及庫存表'!K25</f>
        <v>248</v>
      </c>
      <c r="M24" s="8">
        <v>0</v>
      </c>
      <c r="N24" s="8">
        <f>ROUND(M24/30,0)</f>
        <v>0</v>
      </c>
      <c r="P24">
        <f>ROUND(O24/30,0)</f>
        <v>0</v>
      </c>
      <c r="Q24">
        <v>0</v>
      </c>
      <c r="R24">
        <v>30</v>
      </c>
    </row>
    <row r="25" spans="1:18" ht="16.5" customHeight="1">
      <c r="A25" s="5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4">
        <f>'[1]20201030百及庫存表'!G26</f>
        <v>44411</v>
      </c>
      <c r="K25">
        <f>'[1]20201030百及庫存表'!K26</f>
        <v>274</v>
      </c>
      <c r="M25" s="8">
        <v>0</v>
      </c>
      <c r="N25" s="8">
        <f>ROUND(M25/30,0)</f>
        <v>0</v>
      </c>
      <c r="P25">
        <f>ROUND(O25/30,0)</f>
        <v>0</v>
      </c>
      <c r="Q25">
        <v>0</v>
      </c>
      <c r="R25">
        <v>30</v>
      </c>
    </row>
    <row r="26" spans="1:18" ht="16.5" customHeight="1">
      <c r="A26" s="5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4">
        <f>'[1]20201030百及庫存表'!G27</f>
        <v>44331</v>
      </c>
      <c r="K26">
        <f>'[1]20201030百及庫存表'!K27</f>
        <v>194</v>
      </c>
      <c r="M26" s="8">
        <v>0</v>
      </c>
      <c r="N26" s="8">
        <f>ROUND(M26/30,0)</f>
        <v>0</v>
      </c>
      <c r="P26">
        <f>ROUND(O26/30,0)</f>
        <v>0</v>
      </c>
      <c r="Q26">
        <v>0</v>
      </c>
      <c r="R26">
        <v>30</v>
      </c>
    </row>
    <row r="27" spans="1:18" ht="16.5" customHeight="1">
      <c r="A27" s="5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4">
        <f>'[1]20201030百及庫存表'!G28</f>
        <v>44362</v>
      </c>
      <c r="K27">
        <f>'[1]20201030百及庫存表'!K28</f>
        <v>225</v>
      </c>
      <c r="M27" s="8">
        <v>0</v>
      </c>
      <c r="N27" s="8">
        <f>ROUND(M27/30,0)</f>
        <v>0</v>
      </c>
      <c r="P27">
        <f>ROUND(O27/30,0)</f>
        <v>0</v>
      </c>
      <c r="Q27">
        <v>0</v>
      </c>
      <c r="R27">
        <v>30</v>
      </c>
    </row>
    <row r="28" spans="1:18" ht="16.5" customHeight="1">
      <c r="A28" s="5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4">
        <f>'[1]20201030百及庫存表'!G29</f>
        <v>44476</v>
      </c>
      <c r="K28">
        <f>'[1]20201030百及庫存表'!K29</f>
        <v>339</v>
      </c>
      <c r="M28" s="8">
        <v>0</v>
      </c>
      <c r="N28" s="8">
        <f>ROUND(M28/30,0)</f>
        <v>0</v>
      </c>
      <c r="P28">
        <f>ROUND(O28/30,0)</f>
        <v>0</v>
      </c>
      <c r="Q28">
        <v>0</v>
      </c>
      <c r="R28">
        <v>30</v>
      </c>
    </row>
    <row r="29" spans="1:18" ht="16.5" customHeight="1">
      <c r="A29" s="5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4">
        <f>'[1]20201030百及庫存表'!G30</f>
        <v>44306</v>
      </c>
      <c r="K29">
        <f>'[1]20201030百及庫存表'!K30</f>
        <v>169</v>
      </c>
      <c r="M29" s="8">
        <v>0</v>
      </c>
      <c r="N29" s="8">
        <f>ROUND(M29/30,0)</f>
        <v>0</v>
      </c>
      <c r="P29">
        <f>ROUND(O29/30,0)</f>
        <v>0</v>
      </c>
      <c r="Q29">
        <v>0</v>
      </c>
      <c r="R29">
        <v>30</v>
      </c>
    </row>
    <row r="30" spans="1:18" ht="16.5" customHeight="1">
      <c r="A30" s="5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4">
        <f>'[1]20201030百及庫存表'!G31</f>
        <v>44427</v>
      </c>
      <c r="K30">
        <f>'[1]20201030百及庫存表'!K31</f>
        <v>290</v>
      </c>
      <c r="M30" s="8">
        <v>0</v>
      </c>
      <c r="N30" s="8">
        <f>ROUND(M30/30,0)</f>
        <v>0</v>
      </c>
      <c r="P30">
        <f>ROUND(O30/30,0)</f>
        <v>0</v>
      </c>
      <c r="Q30">
        <v>0</v>
      </c>
      <c r="R30">
        <v>30</v>
      </c>
    </row>
    <row r="31" spans="1:18" ht="16.5" customHeight="1">
      <c r="A31" s="5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4">
        <f>'[1]20201030百及庫存表'!G32</f>
        <v>44427</v>
      </c>
      <c r="K31">
        <f>'[1]20201030百及庫存表'!K32</f>
        <v>290</v>
      </c>
      <c r="M31" s="8">
        <v>0</v>
      </c>
      <c r="N31" s="8">
        <f>ROUND(M31/30,0)</f>
        <v>0</v>
      </c>
      <c r="P31">
        <f>ROUND(O31/30,0)</f>
        <v>0</v>
      </c>
      <c r="Q31">
        <v>0</v>
      </c>
      <c r="R31">
        <v>30</v>
      </c>
    </row>
    <row r="32" spans="1:18" ht="16.5" customHeight="1">
      <c r="A32" s="6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4">
        <f>'[1]20201030百及庫存表'!G33</f>
        <v>44463</v>
      </c>
      <c r="K32">
        <f>'[1]20201030百及庫存表'!K33</f>
        <v>326</v>
      </c>
      <c r="M32" s="8">
        <v>0</v>
      </c>
      <c r="N32" s="8">
        <f>ROUND(M32/30,0)</f>
        <v>0</v>
      </c>
      <c r="O32">
        <v>544</v>
      </c>
      <c r="P32">
        <f>ROUND(O32/30,0)</f>
        <v>18</v>
      </c>
      <c r="Q32">
        <f>ROUND(G32/P32,0)</f>
        <v>84</v>
      </c>
    </row>
    <row r="33" spans="1:18" ht="16.5" customHeight="1">
      <c r="A33" s="5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4">
        <f>'[1]20201030百及庫存表'!G34</f>
        <v>44452</v>
      </c>
      <c r="K33">
        <f>'[1]20201030百及庫存表'!K34</f>
        <v>315</v>
      </c>
      <c r="M33" s="8">
        <v>0</v>
      </c>
      <c r="N33" s="8">
        <f>ROUND(M33/30,0)</f>
        <v>0</v>
      </c>
      <c r="P33">
        <f>ROUND(O33/30,0)</f>
        <v>0</v>
      </c>
      <c r="Q33">
        <v>0</v>
      </c>
      <c r="R33">
        <v>20</v>
      </c>
    </row>
    <row r="34" spans="1:18" ht="16.5" customHeight="1">
      <c r="A34" s="5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4">
        <f>'[1]20201030百及庫存表'!G35</f>
        <v>44452</v>
      </c>
      <c r="K34">
        <f>'[1]20201030百及庫存表'!K35</f>
        <v>315</v>
      </c>
      <c r="M34" s="8">
        <v>0</v>
      </c>
      <c r="N34" s="8">
        <f>ROUND(M34/30,0)</f>
        <v>0</v>
      </c>
      <c r="P34">
        <f>ROUND(O34/30,0)</f>
        <v>0</v>
      </c>
      <c r="Q34">
        <v>0</v>
      </c>
      <c r="R34">
        <v>20</v>
      </c>
    </row>
    <row r="35" spans="1:18" ht="16.5" customHeight="1">
      <c r="A35" s="6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4">
        <f>'[1]20201030百及庫存表'!G36</f>
        <v>44772</v>
      </c>
      <c r="K35">
        <f>'[1]20201030百及庫存表'!K36</f>
        <v>635</v>
      </c>
      <c r="M35" s="8">
        <v>0</v>
      </c>
      <c r="N35" s="8">
        <f>ROUND(M35/30,0)</f>
        <v>0</v>
      </c>
      <c r="O35">
        <v>90</v>
      </c>
      <c r="P35">
        <f>ROUND(O35/30,0)</f>
        <v>3</v>
      </c>
      <c r="Q35">
        <f>ROUND(G35/P35,0)</f>
        <v>576</v>
      </c>
    </row>
    <row r="36" spans="1:18" ht="16.5" customHeight="1">
      <c r="A36" s="6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4">
        <f>'[1]20201030百及庫存表'!G37</f>
        <v>44386</v>
      </c>
      <c r="K36">
        <f>'[1]20201030百及庫存表'!K37</f>
        <v>249</v>
      </c>
      <c r="M36" s="8">
        <v>0</v>
      </c>
      <c r="N36" s="8">
        <f>ROUND(M36/30,0)</f>
        <v>0</v>
      </c>
      <c r="O36">
        <v>132</v>
      </c>
      <c r="P36">
        <f>ROUND(O36/30,0)</f>
        <v>4</v>
      </c>
      <c r="Q36">
        <f>ROUND(G36/P36,0)</f>
        <v>37</v>
      </c>
      <c r="R36">
        <v>25</v>
      </c>
    </row>
    <row r="37" spans="1:18" ht="16.5" customHeight="1">
      <c r="A37" s="6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4">
        <f>'[1]20201030百及庫存表'!G38</f>
        <v>44480</v>
      </c>
      <c r="K37">
        <f>'[1]20201030百及庫存表'!K38</f>
        <v>343</v>
      </c>
      <c r="M37" s="8">
        <v>0</v>
      </c>
      <c r="N37" s="8">
        <f>ROUND(M37/30,0)</f>
        <v>0</v>
      </c>
      <c r="O37">
        <v>132</v>
      </c>
      <c r="P37">
        <f>ROUND(O37/30,0)</f>
        <v>4</v>
      </c>
      <c r="Q37">
        <f>ROUND(G37/P37,0)</f>
        <v>297</v>
      </c>
      <c r="R37">
        <v>25</v>
      </c>
    </row>
    <row r="38" spans="1:18" ht="16.5" customHeight="1">
      <c r="A38" s="5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4">
        <f>'[1]20201030百及庫存表'!G39</f>
        <v>44377</v>
      </c>
      <c r="K38">
        <f>'[1]20201030百及庫存表'!K39</f>
        <v>240</v>
      </c>
      <c r="M38" s="8">
        <v>0</v>
      </c>
      <c r="N38" s="8">
        <f>ROUND(M38/30,0)</f>
        <v>0</v>
      </c>
      <c r="P38">
        <f>ROUND(O38/30,0)</f>
        <v>0</v>
      </c>
      <c r="Q38">
        <v>0</v>
      </c>
      <c r="R38">
        <v>25</v>
      </c>
    </row>
    <row r="39" spans="1:18" ht="16.5" customHeight="1">
      <c r="A39" s="5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4">
        <f>'[1]20201030百及庫存表'!G40</f>
        <v>44741</v>
      </c>
      <c r="K39">
        <f>'[1]20201030百及庫存表'!K40</f>
        <v>604</v>
      </c>
      <c r="M39" s="8">
        <v>0</v>
      </c>
      <c r="N39" s="8">
        <f>ROUND(M39/30,0)</f>
        <v>0</v>
      </c>
      <c r="O39">
        <v>918</v>
      </c>
      <c r="P39">
        <f>ROUND(O39/30,0)</f>
        <v>31</v>
      </c>
      <c r="Q39">
        <f>ROUND(G39/P39,0)</f>
        <v>12</v>
      </c>
      <c r="R39">
        <v>45</v>
      </c>
    </row>
    <row r="40" spans="1:18" ht="16.5" customHeight="1">
      <c r="A40" s="5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4">
        <f>'[1]20201030百及庫存表'!G41</f>
        <v>44741</v>
      </c>
      <c r="K40">
        <f>'[1]20201030百及庫存表'!K41</f>
        <v>604</v>
      </c>
      <c r="M40" s="8">
        <v>0</v>
      </c>
      <c r="N40" s="8">
        <f>ROUND(M40/30,0)</f>
        <v>0</v>
      </c>
      <c r="P40">
        <f>ROUND(O40/30,0)</f>
        <v>0</v>
      </c>
      <c r="Q40">
        <v>0</v>
      </c>
      <c r="R40">
        <v>45</v>
      </c>
    </row>
    <row r="41" spans="1:18" ht="16.5" customHeight="1">
      <c r="A41" s="6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4">
        <f>'[1]20201030百及庫存表'!G42</f>
        <v>45127</v>
      </c>
      <c r="K41">
        <f>'[1]20201030百及庫存表'!K42</f>
        <v>990</v>
      </c>
      <c r="M41" s="8">
        <v>0</v>
      </c>
      <c r="N41" s="8">
        <f>ROUND(M41/30,0)</f>
        <v>0</v>
      </c>
      <c r="O41">
        <v>376</v>
      </c>
      <c r="P41">
        <f>ROUND(O41/30,0)</f>
        <v>13</v>
      </c>
      <c r="Q41">
        <f>ROUND(G41/P41,0)</f>
        <v>68</v>
      </c>
      <c r="R41">
        <v>25</v>
      </c>
    </row>
    <row r="42" spans="1:18" ht="16.5" customHeight="1">
      <c r="A42" s="5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4">
        <f>'[1]20201030百及庫存表'!G43</f>
        <v>44355</v>
      </c>
      <c r="K42">
        <f>'[1]20201030百及庫存表'!K43</f>
        <v>218</v>
      </c>
      <c r="M42" s="8">
        <v>0</v>
      </c>
      <c r="N42" s="8">
        <f>ROUND(M42/30,0)</f>
        <v>0</v>
      </c>
      <c r="P42">
        <f>ROUND(O42/30,0)</f>
        <v>0</v>
      </c>
      <c r="Q42">
        <v>0</v>
      </c>
      <c r="R42">
        <v>25</v>
      </c>
    </row>
    <row r="43" spans="1:18" ht="16.5" customHeight="1">
      <c r="A43" s="5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4">
        <f>'[1]20201030百及庫存表'!G44</f>
        <v>44757</v>
      </c>
      <c r="K43">
        <f>'[1]20201030百及庫存表'!K44</f>
        <v>620</v>
      </c>
      <c r="M43" s="8">
        <v>0</v>
      </c>
      <c r="N43" s="8">
        <f>ROUND(M43/30,0)</f>
        <v>0</v>
      </c>
      <c r="P43">
        <f>ROUND(O43/30,0)</f>
        <v>0</v>
      </c>
      <c r="Q43">
        <v>0</v>
      </c>
      <c r="R43">
        <v>40</v>
      </c>
    </row>
    <row r="44" spans="1:18" ht="16.5" customHeight="1">
      <c r="A44" s="6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4">
        <f>'[1]20201030百及庫存表'!G45</f>
        <v>45899</v>
      </c>
      <c r="K44">
        <f>'[1]20201030百及庫存表'!K45</f>
        <v>1762</v>
      </c>
      <c r="M44" s="8">
        <v>0</v>
      </c>
      <c r="N44" s="8">
        <f>ROUND(M44/30,0)</f>
        <v>0</v>
      </c>
      <c r="O44">
        <v>714</v>
      </c>
      <c r="P44">
        <f>ROUND(O44/30,0)</f>
        <v>24</v>
      </c>
      <c r="Q44">
        <f>ROUND(G44/P44,0)</f>
        <v>61</v>
      </c>
      <c r="R44">
        <v>40</v>
      </c>
    </row>
    <row r="45" spans="1:18" ht="16.5" customHeight="1">
      <c r="A45" s="5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4">
        <f>'[1]20201030百及庫存表'!G46</f>
        <v>44977</v>
      </c>
      <c r="K45">
        <f>'[1]20201030百及庫存表'!K46</f>
        <v>840</v>
      </c>
      <c r="M45" s="8">
        <v>0</v>
      </c>
      <c r="N45" s="8">
        <f>ROUND(M45/30,0)</f>
        <v>0</v>
      </c>
      <c r="O45">
        <v>10</v>
      </c>
      <c r="P45">
        <f>ROUND(O45/30,0)</f>
        <v>0</v>
      </c>
      <c r="Q45" t="e">
        <f>ROUND(G45/P45,0)</f>
        <v>#DIV/0!</v>
      </c>
      <c r="R45">
        <v>30</v>
      </c>
    </row>
    <row r="46" spans="1:18" ht="16.5" customHeight="1">
      <c r="A46" s="6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4">
        <f>'[1]20201030百及庫存表'!G47</f>
        <v>45142</v>
      </c>
      <c r="K46">
        <f>'[1]20201030百及庫存表'!K47</f>
        <v>1005</v>
      </c>
      <c r="M46" s="8">
        <v>0</v>
      </c>
      <c r="N46" s="8">
        <f>ROUND(M46/30,0)</f>
        <v>0</v>
      </c>
      <c r="O46">
        <v>56</v>
      </c>
      <c r="P46">
        <f>ROUND(O46/30,0)</f>
        <v>2</v>
      </c>
      <c r="Q46">
        <f>ROUND(G46/P46,0)</f>
        <v>73</v>
      </c>
      <c r="R46">
        <v>30</v>
      </c>
    </row>
    <row r="47" spans="1:18" ht="16.5" customHeight="1">
      <c r="A47" s="6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4">
        <f>'[1]20201030百及庫存表'!G48</f>
        <v>44764</v>
      </c>
      <c r="K47">
        <f>'[1]20201030百及庫存表'!K48</f>
        <v>627</v>
      </c>
      <c r="L47" s="8">
        <v>660</v>
      </c>
      <c r="M47" s="8">
        <v>52</v>
      </c>
      <c r="N47" s="8">
        <f>ROUND(M47/30,0)</f>
        <v>2</v>
      </c>
      <c r="O47">
        <v>384</v>
      </c>
      <c r="P47">
        <f>ROUND(O47/30,0)</f>
        <v>13</v>
      </c>
      <c r="Q47">
        <f>ROUND(G47/P47,0)</f>
        <v>109</v>
      </c>
      <c r="R47">
        <v>30</v>
      </c>
    </row>
    <row r="48" spans="1:18" ht="16.5" customHeight="1">
      <c r="A48" s="6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4">
        <f>'[1]20201030百及庫存表'!G49</f>
        <v>44818</v>
      </c>
      <c r="K48">
        <f>'[1]20201030百及庫存表'!K49</f>
        <v>681</v>
      </c>
      <c r="L48" s="8">
        <v>660</v>
      </c>
      <c r="M48" s="8">
        <v>52</v>
      </c>
      <c r="N48" s="8">
        <f>ROUND(M48/30,0)</f>
        <v>2</v>
      </c>
      <c r="O48">
        <v>384</v>
      </c>
      <c r="P48">
        <f>ROUND(O48/30,0)</f>
        <v>13</v>
      </c>
      <c r="Q48">
        <f>ROUND(G48/P48,0)</f>
        <v>148</v>
      </c>
      <c r="R48">
        <v>30</v>
      </c>
    </row>
    <row r="49" spans="1:18" ht="16.5" customHeight="1">
      <c r="A49" s="5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4">
        <f>'[1]20201030百及庫存表'!G50</f>
        <v>44804</v>
      </c>
      <c r="K49">
        <f>'[1]20201030百及庫存表'!K50</f>
        <v>667</v>
      </c>
      <c r="L49" s="8">
        <v>660</v>
      </c>
      <c r="M49" s="8">
        <v>18</v>
      </c>
      <c r="N49" s="8">
        <f>ROUND(M49/30,0)</f>
        <v>1</v>
      </c>
      <c r="O49">
        <v>1084</v>
      </c>
      <c r="P49">
        <f>ROUND(O49/30,0)</f>
        <v>36</v>
      </c>
      <c r="Q49">
        <f>ROUND(G49/P49,0)</f>
        <v>33</v>
      </c>
      <c r="R49">
        <v>30</v>
      </c>
    </row>
    <row r="50" spans="1:18" ht="16.5" customHeight="1">
      <c r="A50" s="5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4">
        <f>'[1]20201030百及庫存表'!G51</f>
        <v>44841</v>
      </c>
      <c r="K50">
        <f>'[1]20201030百及庫存表'!K51</f>
        <v>704</v>
      </c>
      <c r="L50" s="8">
        <v>660</v>
      </c>
      <c r="M50" s="8">
        <v>18</v>
      </c>
      <c r="N50" s="8">
        <f>ROUND(M50/30,0)</f>
        <v>1</v>
      </c>
      <c r="O50">
        <v>1084</v>
      </c>
      <c r="P50">
        <f>ROUND(O50/30,0)</f>
        <v>36</v>
      </c>
      <c r="Q50">
        <f>ROUND(G50/P50,0)</f>
        <v>38</v>
      </c>
      <c r="R50">
        <v>30</v>
      </c>
    </row>
    <row r="51" spans="1:18" ht="16.5" customHeight="1">
      <c r="A51" s="5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4">
        <f>'[1]20201030百及庫存表'!G52</f>
        <v>44688</v>
      </c>
      <c r="K51">
        <f>'[1]20201030百及庫存表'!K52</f>
        <v>551</v>
      </c>
      <c r="L51" s="8">
        <v>660</v>
      </c>
      <c r="M51" s="8">
        <v>28</v>
      </c>
      <c r="N51" s="8">
        <f>ROUND(M51/30,0)</f>
        <v>1</v>
      </c>
      <c r="O51">
        <v>704</v>
      </c>
      <c r="P51">
        <f>ROUND(O51/30,0)</f>
        <v>23</v>
      </c>
      <c r="Q51">
        <f>ROUND(G51/P51,0)</f>
        <v>39</v>
      </c>
      <c r="R51">
        <v>30</v>
      </c>
    </row>
    <row r="52" spans="1:18" ht="16.5" customHeight="1">
      <c r="A52" s="6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4">
        <f>'[1]20201030百及庫存表'!G53</f>
        <v>44804</v>
      </c>
      <c r="K52">
        <f>'[1]20201030百及庫存表'!K53</f>
        <v>667</v>
      </c>
      <c r="L52" s="8">
        <v>660</v>
      </c>
      <c r="M52" s="8">
        <v>28</v>
      </c>
      <c r="N52" s="8">
        <f>ROUND(M52/30,0)</f>
        <v>1</v>
      </c>
      <c r="O52">
        <v>704</v>
      </c>
      <c r="P52">
        <f>ROUND(O52/30,0)</f>
        <v>23</v>
      </c>
      <c r="Q52">
        <f>ROUND(G52/P52,0)</f>
        <v>43</v>
      </c>
      <c r="R52">
        <v>30</v>
      </c>
    </row>
    <row r="53" spans="1:18" ht="16.5" customHeight="1">
      <c r="A53" s="5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4">
        <f>'[1]20201030百及庫存表'!G54</f>
        <v>44490</v>
      </c>
      <c r="K53">
        <f>'[1]20201030百及庫存表'!K54</f>
        <v>353</v>
      </c>
      <c r="L53" s="8">
        <v>2400</v>
      </c>
      <c r="M53" s="8">
        <v>17</v>
      </c>
      <c r="N53" s="8">
        <f>ROUND(M53/30,0)</f>
        <v>1</v>
      </c>
      <c r="O53">
        <v>4324</v>
      </c>
      <c r="P53">
        <f>ROUND(O53/30,0)</f>
        <v>144</v>
      </c>
      <c r="Q53">
        <f>ROUND(G53/P53,0)</f>
        <v>30</v>
      </c>
      <c r="R53">
        <v>30</v>
      </c>
    </row>
    <row r="54" spans="1:18" ht="16.5" customHeight="1">
      <c r="A54" s="6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4">
        <f>'[1]20201030百及庫存表'!G55</f>
        <v>44448</v>
      </c>
      <c r="K54">
        <f>'[1]20201030百及庫存表'!K55</f>
        <v>311</v>
      </c>
      <c r="L54" s="8">
        <v>2400</v>
      </c>
      <c r="M54" s="8">
        <v>56</v>
      </c>
      <c r="N54" s="8">
        <f>ROUND(M54/30,0)</f>
        <v>2</v>
      </c>
      <c r="O54">
        <v>1280</v>
      </c>
      <c r="P54">
        <f>ROUND(O54/30,0)</f>
        <v>43</v>
      </c>
      <c r="Q54">
        <f>ROUND(G54/P54,0)</f>
        <v>42</v>
      </c>
      <c r="R54">
        <v>30</v>
      </c>
    </row>
    <row r="55" spans="1:18" ht="16.5" customHeight="1">
      <c r="A55" s="5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4">
        <f>'[1]20201030百及庫存表'!G56</f>
        <v>44418</v>
      </c>
      <c r="K55">
        <f>'[1]20201030百及庫存表'!K56</f>
        <v>281</v>
      </c>
      <c r="M55" s="8">
        <v>0</v>
      </c>
      <c r="N55" s="8">
        <f>ROUND(M55/30,0)</f>
        <v>0</v>
      </c>
      <c r="P55">
        <f>ROUND(O55/30,0)</f>
        <v>0</v>
      </c>
      <c r="Q55">
        <v>0</v>
      </c>
      <c r="R55">
        <v>30</v>
      </c>
    </row>
    <row r="56" spans="1:18" ht="16.5" customHeight="1">
      <c r="A56" s="5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4">
        <f>'[1]20201030百及庫存表'!G57</f>
        <v>44455</v>
      </c>
      <c r="K56">
        <f>'[1]20201030百及庫存表'!K57</f>
        <v>318</v>
      </c>
      <c r="M56" s="8">
        <v>0</v>
      </c>
      <c r="N56" s="8">
        <f>ROUND(M56/30,0)</f>
        <v>0</v>
      </c>
      <c r="P56">
        <f>ROUND(O56/30,0)</f>
        <v>0</v>
      </c>
      <c r="Q56">
        <v>0</v>
      </c>
      <c r="R56">
        <v>30</v>
      </c>
    </row>
    <row r="57" spans="1:18" ht="16.5" customHeight="1">
      <c r="A57" s="5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4">
        <f>'[1]20201030百及庫存表'!G58</f>
        <v>44637</v>
      </c>
      <c r="K57">
        <f>'[1]20201030百及庫存表'!K58</f>
        <v>500</v>
      </c>
      <c r="M57" s="8">
        <v>0</v>
      </c>
      <c r="N57" s="8">
        <f>ROUND(M57/30,0)</f>
        <v>0</v>
      </c>
      <c r="O57">
        <v>503</v>
      </c>
      <c r="P57">
        <f>ROUND(O57/30,0)</f>
        <v>17</v>
      </c>
      <c r="Q57">
        <f>ROUND(G57/P57,0)</f>
        <v>21</v>
      </c>
      <c r="R57">
        <v>40</v>
      </c>
    </row>
    <row r="58" spans="1:18" ht="16.5" customHeight="1">
      <c r="A58" s="6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4">
        <f>'[1]20201030百及庫存表'!G59</f>
        <v>44637</v>
      </c>
      <c r="K58">
        <f>'[1]20201030百及庫存表'!K59</f>
        <v>500</v>
      </c>
      <c r="M58" s="8">
        <v>0</v>
      </c>
      <c r="N58" s="8">
        <f>ROUND(M58/30,0)</f>
        <v>0</v>
      </c>
      <c r="O58">
        <v>503</v>
      </c>
      <c r="P58">
        <f>ROUND(O58/30,0)</f>
        <v>17</v>
      </c>
      <c r="Q58">
        <f>ROUND(G58/P58,0)</f>
        <v>135</v>
      </c>
      <c r="R58">
        <v>40</v>
      </c>
    </row>
    <row r="59" spans="1:18" ht="16.5" customHeight="1">
      <c r="A59" s="5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4">
        <f>'[1]20201030百及庫存表'!G60</f>
        <v>44581</v>
      </c>
      <c r="K59">
        <f>'[1]20201030百及庫存表'!K60</f>
        <v>444</v>
      </c>
      <c r="M59" s="8">
        <v>0</v>
      </c>
      <c r="N59" s="8">
        <f>ROUND(M59/30,0)</f>
        <v>0</v>
      </c>
      <c r="O59">
        <v>248</v>
      </c>
      <c r="P59">
        <f>ROUND(O59/30,0)</f>
        <v>8</v>
      </c>
      <c r="Q59">
        <f>ROUND(G59/P59,0)</f>
        <v>17</v>
      </c>
      <c r="R59">
        <v>40</v>
      </c>
    </row>
    <row r="60" spans="1:18" ht="16.5" customHeight="1">
      <c r="A60" s="5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4">
        <f>'[1]20201030百及庫存表'!G61</f>
        <v>44530</v>
      </c>
      <c r="K60">
        <f>'[1]20201030百及庫存表'!K61</f>
        <v>393</v>
      </c>
      <c r="M60" s="8">
        <v>0</v>
      </c>
      <c r="N60" s="8">
        <f>ROUND(M60/30,0)</f>
        <v>0</v>
      </c>
      <c r="P60">
        <f>ROUND(O60/30,0)</f>
        <v>0</v>
      </c>
      <c r="Q60">
        <v>0</v>
      </c>
      <c r="R60">
        <v>40</v>
      </c>
    </row>
    <row r="61" spans="1:18" ht="16.5" customHeight="1">
      <c r="A61" s="6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4">
        <f>'[1]20201030百及庫存表'!G62</f>
        <v>44775</v>
      </c>
      <c r="K61">
        <f>'[1]20201030百及庫存表'!K62</f>
        <v>638</v>
      </c>
      <c r="M61" s="8">
        <v>0</v>
      </c>
      <c r="N61" s="8">
        <f>ROUND(M61/30,0)</f>
        <v>0</v>
      </c>
      <c r="O61">
        <v>70</v>
      </c>
      <c r="P61">
        <f>ROUND(O61/30,0)</f>
        <v>2</v>
      </c>
      <c r="Q61">
        <f>ROUND(G61/P61,0)</f>
        <v>217</v>
      </c>
      <c r="R61">
        <v>40</v>
      </c>
    </row>
    <row r="62" spans="1:18" ht="16.5" customHeight="1">
      <c r="A62" s="5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4">
        <f>'[1]20201030百及庫存表'!G63</f>
        <v>44419</v>
      </c>
      <c r="K62">
        <f>'[1]20201030百及庫存表'!K63</f>
        <v>282</v>
      </c>
      <c r="M62" s="8">
        <v>0</v>
      </c>
      <c r="N62" s="8">
        <f>ROUND(M62/30,0)</f>
        <v>0</v>
      </c>
      <c r="O62">
        <v>596</v>
      </c>
      <c r="P62">
        <f>ROUND(O62/30,0)</f>
        <v>20</v>
      </c>
      <c r="Q62">
        <f>ROUND(G62/P62,0)</f>
        <v>7</v>
      </c>
      <c r="R62">
        <v>25</v>
      </c>
    </row>
    <row r="63" spans="1:18" ht="16.5" customHeight="1">
      <c r="A63" s="6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4">
        <f>'[1]20201030百及庫存表'!G64</f>
        <v>44494</v>
      </c>
      <c r="K63">
        <f>'[1]20201030百及庫存表'!K64</f>
        <v>357</v>
      </c>
      <c r="M63" s="8">
        <v>0</v>
      </c>
      <c r="N63" s="8">
        <f>ROUND(M63/30,0)</f>
        <v>0</v>
      </c>
      <c r="O63">
        <v>596</v>
      </c>
      <c r="P63">
        <f>ROUND(O63/30,0)</f>
        <v>20</v>
      </c>
      <c r="Q63">
        <f>ROUND(G63/P63,0)</f>
        <v>88</v>
      </c>
      <c r="R63">
        <v>25</v>
      </c>
    </row>
    <row r="64" spans="1:18" ht="16.5" customHeight="1">
      <c r="A64" s="6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4">
        <f>'[1]20201030百及庫存表'!G65</f>
        <v>44431</v>
      </c>
      <c r="K64">
        <f>'[1]20201030百及庫存表'!K65</f>
        <v>294</v>
      </c>
      <c r="M64" s="8">
        <v>0</v>
      </c>
      <c r="N64" s="8">
        <f>ROUND(M64/30,0)</f>
        <v>0</v>
      </c>
      <c r="O64">
        <v>186</v>
      </c>
      <c r="P64">
        <f>ROUND(O64/30,0)</f>
        <v>6</v>
      </c>
      <c r="Q64">
        <f>ROUND(G64/P64,0)</f>
        <v>83</v>
      </c>
      <c r="R64">
        <v>25</v>
      </c>
    </row>
    <row r="65" spans="1:18" ht="16.5" customHeight="1">
      <c r="A65" s="5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4">
        <f>'[1]20201030百及庫存表'!G66</f>
        <v>44460</v>
      </c>
      <c r="K65">
        <f>'[1]20201030百及庫存表'!K66</f>
        <v>323</v>
      </c>
      <c r="M65" s="8">
        <v>0</v>
      </c>
      <c r="N65" s="8">
        <f>ROUND(M65/30,0)</f>
        <v>0</v>
      </c>
      <c r="O65">
        <v>385</v>
      </c>
      <c r="P65">
        <f>ROUND(O65/30,0)</f>
        <v>13</v>
      </c>
      <c r="Q65">
        <f>ROUND(G65/P65,0)</f>
        <v>0</v>
      </c>
      <c r="R65">
        <v>40</v>
      </c>
    </row>
    <row r="66" spans="1:18" ht="16.5" customHeight="1">
      <c r="A66" s="5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4">
        <f>'[1]20201030百及庫存表'!G67</f>
        <v>44491</v>
      </c>
      <c r="K66">
        <f>'[1]20201030百及庫存表'!K67</f>
        <v>354</v>
      </c>
      <c r="M66" s="8">
        <v>0</v>
      </c>
      <c r="N66" s="8">
        <f>ROUND(M66/30,0)</f>
        <v>0</v>
      </c>
      <c r="O66">
        <v>385</v>
      </c>
      <c r="P66">
        <f>ROUND(O66/30,0)</f>
        <v>13</v>
      </c>
      <c r="Q66">
        <f>ROUND(G66/P66,0)</f>
        <v>46</v>
      </c>
      <c r="R66">
        <v>40</v>
      </c>
    </row>
    <row r="67" spans="1:18" ht="16.5" customHeight="1">
      <c r="A67" s="5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4">
        <f>'[1]20201030百及庫存表'!G68</f>
        <v>44460</v>
      </c>
      <c r="K67">
        <f>'[1]20201030百及庫存表'!K68</f>
        <v>323</v>
      </c>
      <c r="M67" s="8">
        <v>0</v>
      </c>
      <c r="N67" s="8">
        <f>ROUND(M67/30,0)</f>
        <v>0</v>
      </c>
      <c r="O67">
        <v>722</v>
      </c>
      <c r="P67">
        <f>ROUND(O67/30,0)</f>
        <v>24</v>
      </c>
      <c r="Q67">
        <f>ROUND(G67/P67,0)</f>
        <v>15</v>
      </c>
      <c r="R67">
        <v>40</v>
      </c>
    </row>
    <row r="68" spans="1:18" ht="16.5" customHeight="1">
      <c r="A68" s="5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4">
        <f>'[1]20201030百及庫存表'!G69</f>
        <v>44481</v>
      </c>
      <c r="K68">
        <f>'[1]20201030百及庫存表'!K69</f>
        <v>344</v>
      </c>
      <c r="M68" s="8">
        <v>0</v>
      </c>
      <c r="N68" s="8">
        <f>ROUND(M68/30,0)</f>
        <v>0</v>
      </c>
      <c r="O68">
        <v>770</v>
      </c>
      <c r="P68">
        <f>ROUND(O68/30,0)</f>
        <v>26</v>
      </c>
      <c r="Q68">
        <f>ROUND(G68/P68,0)</f>
        <v>44</v>
      </c>
      <c r="R68">
        <v>40</v>
      </c>
    </row>
    <row r="69" spans="1:18" ht="16.5" customHeight="1">
      <c r="A69" s="6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4">
        <f>'[1]20201030百及庫存表'!G70</f>
        <v>44456</v>
      </c>
      <c r="K69">
        <f>'[1]20201030百及庫存表'!K70</f>
        <v>319</v>
      </c>
      <c r="M69" s="8">
        <v>0</v>
      </c>
      <c r="N69" s="8">
        <f>ROUND(M69/30,0)</f>
        <v>0</v>
      </c>
      <c r="O69">
        <v>157</v>
      </c>
      <c r="P69">
        <f>ROUND(O69/30,0)</f>
        <v>5</v>
      </c>
      <c r="Q69">
        <f>ROUND(G69/P69,0)</f>
        <v>105</v>
      </c>
      <c r="R69">
        <v>30</v>
      </c>
    </row>
    <row r="70" spans="1:18" ht="16.5" customHeight="1">
      <c r="A70" s="5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4">
        <f>'[1]20201030百及庫存表'!G71</f>
        <v>44489</v>
      </c>
      <c r="K70">
        <f>'[1]20201030百及庫存表'!K71</f>
        <v>352</v>
      </c>
      <c r="M70" s="8">
        <v>0</v>
      </c>
      <c r="N70" s="8">
        <f>ROUND(M70/30,0)</f>
        <v>0</v>
      </c>
      <c r="O70">
        <v>266</v>
      </c>
      <c r="P70">
        <f>ROUND(O70/30,0)</f>
        <v>9</v>
      </c>
      <c r="Q70">
        <f>ROUND(G70/P70,0)</f>
        <v>20</v>
      </c>
      <c r="R70">
        <v>30</v>
      </c>
    </row>
    <row r="71" spans="1:18" ht="16.5" customHeight="1">
      <c r="A71" s="5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4">
        <f>'[1]20201030百及庫存表'!G72</f>
        <v>44460</v>
      </c>
      <c r="K71">
        <f>'[1]20201030百及庫存表'!K72</f>
        <v>323</v>
      </c>
      <c r="M71" s="8">
        <v>0</v>
      </c>
      <c r="N71" s="8">
        <f>ROUND(M71/30,0)</f>
        <v>0</v>
      </c>
      <c r="P71">
        <f>ROUND(O71/30,0)</f>
        <v>0</v>
      </c>
      <c r="Q71">
        <v>0</v>
      </c>
      <c r="R71">
        <v>40</v>
      </c>
    </row>
    <row r="72" spans="1:18" ht="16.5" customHeight="1">
      <c r="A72" s="6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4">
        <f>'[1]20201030百及庫存表'!G73</f>
        <v>44421</v>
      </c>
      <c r="K72">
        <f>'[1]20201030百及庫存表'!K73</f>
        <v>284</v>
      </c>
      <c r="M72" s="8">
        <v>0</v>
      </c>
      <c r="N72" s="8">
        <f>ROUND(M72/30,0)</f>
        <v>0</v>
      </c>
      <c r="O72">
        <v>232</v>
      </c>
      <c r="P72">
        <f>ROUND(O72/30,0)</f>
        <v>8</v>
      </c>
      <c r="Q72">
        <f>ROUND(G72/P72,0)</f>
        <v>45</v>
      </c>
      <c r="R72">
        <v>30</v>
      </c>
    </row>
    <row r="73" spans="1:18" ht="16.5" customHeight="1">
      <c r="A73" s="6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4">
        <f>'[1]20201030百及庫存表'!G74</f>
        <v>44484</v>
      </c>
      <c r="K73">
        <f>'[1]20201030百及庫存表'!K74</f>
        <v>347</v>
      </c>
      <c r="M73" s="8">
        <v>0</v>
      </c>
      <c r="N73" s="8">
        <f>ROUND(M73/30,0)</f>
        <v>0</v>
      </c>
      <c r="O73">
        <v>53</v>
      </c>
      <c r="P73">
        <f>ROUND(O73/30,0)</f>
        <v>2</v>
      </c>
      <c r="Q73">
        <f>ROUND(G73/P73,0)</f>
        <v>282</v>
      </c>
      <c r="R73">
        <v>25</v>
      </c>
    </row>
    <row r="74" spans="1:18" ht="16.5" customHeight="1">
      <c r="A74" s="6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4">
        <f>'[1]20201030百及庫存表'!G75</f>
        <v>44656</v>
      </c>
      <c r="K74">
        <f>'[1]20201030百及庫存表'!K75</f>
        <v>519</v>
      </c>
      <c r="M74" s="8">
        <v>0</v>
      </c>
      <c r="N74" s="8">
        <f>ROUND(M74/30,0)</f>
        <v>0</v>
      </c>
      <c r="O74">
        <v>262</v>
      </c>
      <c r="P74">
        <f>ROUND(O74/30,0)</f>
        <v>9</v>
      </c>
      <c r="Q74">
        <f>ROUND(G74/P74,0)</f>
        <v>107</v>
      </c>
      <c r="R74">
        <v>25</v>
      </c>
    </row>
    <row r="75" spans="1:18" ht="16.5" customHeight="1">
      <c r="A75" s="5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4">
        <f>'[1]20201030百及庫存表'!G76</f>
        <v>44402</v>
      </c>
      <c r="K75">
        <f>'[1]20201030百及庫存表'!K76</f>
        <v>265</v>
      </c>
      <c r="M75" s="8">
        <v>0</v>
      </c>
      <c r="N75" s="8">
        <f>ROUND(M75/30,0)</f>
        <v>0</v>
      </c>
      <c r="O75">
        <v>1812</v>
      </c>
      <c r="P75">
        <f>ROUND(O75/30,0)</f>
        <v>60</v>
      </c>
      <c r="Q75">
        <f>ROUND(G75/P75,0)</f>
        <v>27</v>
      </c>
      <c r="R75">
        <v>25</v>
      </c>
    </row>
    <row r="76" spans="1:18" ht="16.5" customHeight="1">
      <c r="A76" s="5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4">
        <f>'[1]20201030百及庫存表'!G77</f>
        <v>44447</v>
      </c>
      <c r="K76">
        <f>'[1]20201030百及庫存表'!K77</f>
        <v>310</v>
      </c>
      <c r="M76" s="8">
        <v>0</v>
      </c>
      <c r="N76" s="8">
        <f>ROUND(M76/30,0)</f>
        <v>0</v>
      </c>
      <c r="O76">
        <v>136</v>
      </c>
      <c r="P76">
        <f>ROUND(O76/30,0)</f>
        <v>5</v>
      </c>
      <c r="Q76">
        <f>ROUND(G76/P76,0)</f>
        <v>26</v>
      </c>
      <c r="R76">
        <v>18</v>
      </c>
    </row>
    <row r="77" spans="1:18" ht="16.5" customHeight="1">
      <c r="A77" s="6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4">
        <f>'[1]20201030百及庫存表'!G78</f>
        <v>44461</v>
      </c>
      <c r="K77">
        <f>'[1]20201030百及庫存表'!K78</f>
        <v>324</v>
      </c>
      <c r="M77" s="8">
        <v>0</v>
      </c>
      <c r="N77" s="8">
        <f>ROUND(M77/30,0)</f>
        <v>0</v>
      </c>
      <c r="O77">
        <v>136</v>
      </c>
      <c r="P77">
        <f>ROUND(O77/30,0)</f>
        <v>5</v>
      </c>
      <c r="Q77">
        <f>ROUND(G77/P77,0)</f>
        <v>60</v>
      </c>
      <c r="R77">
        <v>18</v>
      </c>
    </row>
    <row r="78" spans="1:18" ht="16.5" customHeight="1">
      <c r="A78" s="6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4">
        <f>'[1]20201030百及庫存表'!G79</f>
        <v>44474</v>
      </c>
      <c r="K78">
        <f>'[1]20201030百及庫存表'!K79</f>
        <v>337</v>
      </c>
      <c r="M78" s="8">
        <v>0</v>
      </c>
      <c r="N78" s="8">
        <f>ROUND(M78/30,0)</f>
        <v>0</v>
      </c>
      <c r="O78">
        <v>70</v>
      </c>
      <c r="P78">
        <f>ROUND(O78/30,0)</f>
        <v>2</v>
      </c>
      <c r="Q78">
        <f>ROUND(G78/P78,0)</f>
        <v>117</v>
      </c>
      <c r="R78">
        <v>18</v>
      </c>
    </row>
    <row r="79" spans="1:18" ht="16.5" customHeight="1">
      <c r="A79" s="5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4">
        <f>'[1]20201030百及庫存表'!G80</f>
        <v>44377</v>
      </c>
      <c r="K79">
        <f>'[1]20201030百及庫存表'!K80</f>
        <v>240</v>
      </c>
      <c r="M79" s="8">
        <v>0</v>
      </c>
      <c r="N79" s="8">
        <f>ROUND(M79/30,0)</f>
        <v>0</v>
      </c>
      <c r="O79">
        <v>1173</v>
      </c>
      <c r="P79">
        <f>ROUND(O79/30,0)</f>
        <v>39</v>
      </c>
      <c r="Q79">
        <f>ROUND(G79/P79,0)</f>
        <v>9</v>
      </c>
      <c r="R79">
        <v>30</v>
      </c>
    </row>
    <row r="80" spans="1:18" ht="16.5" customHeight="1">
      <c r="A80" s="5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4">
        <f>'[1]20201030百及庫存表'!G81</f>
        <v>44434</v>
      </c>
      <c r="K80">
        <f>'[1]20201030百及庫存表'!K81</f>
        <v>297</v>
      </c>
      <c r="M80" s="8">
        <v>0</v>
      </c>
      <c r="N80" s="8">
        <f>ROUND(M80/30,0)</f>
        <v>0</v>
      </c>
      <c r="O80">
        <v>1173</v>
      </c>
      <c r="P80">
        <f>ROUND(O80/30,0)</f>
        <v>39</v>
      </c>
      <c r="Q80">
        <f>ROUND(G80/P80,0)</f>
        <v>31</v>
      </c>
      <c r="R80">
        <v>30</v>
      </c>
    </row>
    <row r="81" spans="1:18" ht="16.5" customHeight="1">
      <c r="A81" s="6" t="s">
        <v>27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4">
        <f>'[1]20201030百及庫存表'!G82</f>
        <v>44242</v>
      </c>
      <c r="K81">
        <f>'[1]20201030百及庫存表'!K82</f>
        <v>105</v>
      </c>
      <c r="M81" s="8">
        <v>0</v>
      </c>
      <c r="N81" s="8">
        <f>ROUND(M81/30,0)</f>
        <v>0</v>
      </c>
      <c r="O81">
        <v>34</v>
      </c>
      <c r="P81">
        <f>ROUND(O81/30,0)</f>
        <v>1</v>
      </c>
      <c r="Q81">
        <f>ROUND(G81/P81,0)</f>
        <v>179</v>
      </c>
      <c r="R81">
        <v>30</v>
      </c>
    </row>
    <row r="82" spans="1:18" ht="16.5" customHeight="1">
      <c r="A82" s="6" t="s">
        <v>27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4">
        <f>'[1]20201030百及庫存表'!G83</f>
        <v>44242</v>
      </c>
      <c r="K82">
        <f>'[1]20201030百及庫存表'!K83</f>
        <v>105</v>
      </c>
      <c r="M82" s="8">
        <v>0</v>
      </c>
      <c r="N82" s="8">
        <f>ROUND(M82/30,0)</f>
        <v>0</v>
      </c>
      <c r="O82">
        <v>49</v>
      </c>
      <c r="P82">
        <f>ROUND(O82/30,0)</f>
        <v>2</v>
      </c>
      <c r="Q82">
        <f>ROUND(G82/P82,0)</f>
        <v>48</v>
      </c>
      <c r="R82">
        <v>30</v>
      </c>
    </row>
    <row r="83" spans="1:18" ht="16.5" customHeight="1">
      <c r="A83" s="5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4">
        <f>'[1]20201030百及庫存表'!G84</f>
        <v>44336</v>
      </c>
      <c r="K83">
        <f>'[1]20201030百及庫存表'!K84</f>
        <v>199</v>
      </c>
      <c r="M83" s="8">
        <v>0</v>
      </c>
      <c r="N83" s="8">
        <f>ROUND(M83/30,0)</f>
        <v>0</v>
      </c>
      <c r="O83">
        <v>1460</v>
      </c>
      <c r="P83">
        <f>ROUND(O83/30,0)</f>
        <v>49</v>
      </c>
      <c r="Q83">
        <f>ROUND(G83/P83,0)</f>
        <v>0</v>
      </c>
    </row>
    <row r="84" spans="1:18" ht="16.5" customHeight="1">
      <c r="A84" s="6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4">
        <f>'[1]20201030百及庫存表'!G85</f>
        <v>44446</v>
      </c>
      <c r="K84">
        <f>'[1]20201030百及庫存表'!K85</f>
        <v>309</v>
      </c>
      <c r="M84" s="8">
        <v>0</v>
      </c>
      <c r="N84" s="8">
        <f>ROUND(M84/30,0)</f>
        <v>0</v>
      </c>
      <c r="O84">
        <v>105</v>
      </c>
      <c r="P84">
        <f>ROUND(O84/30,0)</f>
        <v>4</v>
      </c>
      <c r="Q84">
        <f>ROUND(G84/P84,0)</f>
        <v>32</v>
      </c>
      <c r="R84">
        <v>18</v>
      </c>
    </row>
    <row r="85" spans="1:18" ht="16.5" customHeight="1">
      <c r="A85" s="6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4">
        <f>'[1]20201030百及庫存表'!G86</f>
        <v>44491</v>
      </c>
      <c r="K85">
        <f>'[1]20201030百及庫存表'!K86</f>
        <v>354</v>
      </c>
      <c r="M85" s="8">
        <v>0</v>
      </c>
      <c r="N85" s="8">
        <f>ROUND(M85/30,0)</f>
        <v>0</v>
      </c>
      <c r="O85">
        <v>105</v>
      </c>
      <c r="P85">
        <f>ROUND(O85/30,0)</f>
        <v>4</v>
      </c>
      <c r="Q85">
        <f>ROUND(G85/P85,0)</f>
        <v>75</v>
      </c>
      <c r="R85">
        <v>18</v>
      </c>
    </row>
    <row r="86" spans="1:18" ht="16.5" customHeight="1">
      <c r="A86" s="6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4">
        <f>'[1]20201030百及庫存表'!G87</f>
        <v>44474</v>
      </c>
      <c r="K86">
        <f>'[1]20201030百及庫存表'!K87</f>
        <v>337</v>
      </c>
      <c r="M86" s="8">
        <v>0</v>
      </c>
      <c r="N86" s="8">
        <f>ROUND(M86/30,0)</f>
        <v>0</v>
      </c>
      <c r="O86">
        <v>42</v>
      </c>
      <c r="P86">
        <f>ROUND(O86/30,0)</f>
        <v>1</v>
      </c>
      <c r="Q86">
        <f>ROUND(G86/P86,0)</f>
        <v>114</v>
      </c>
      <c r="R86">
        <v>18</v>
      </c>
    </row>
    <row r="87" spans="1:18" ht="16.5" customHeight="1">
      <c r="A87" s="6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4">
        <f>'[1]20201030百及庫存表'!G88</f>
        <v>44431</v>
      </c>
      <c r="K87">
        <f>'[1]20201030百及庫存表'!K88</f>
        <v>294</v>
      </c>
      <c r="M87" s="8">
        <v>0</v>
      </c>
      <c r="N87" s="8">
        <f>ROUND(M87/30,0)</f>
        <v>0</v>
      </c>
      <c r="O87">
        <v>156</v>
      </c>
      <c r="P87">
        <f>ROUND(O87/30,0)</f>
        <v>5</v>
      </c>
      <c r="Q87">
        <f>ROUND(G87/P87,0)</f>
        <v>72</v>
      </c>
      <c r="R87">
        <v>18</v>
      </c>
    </row>
    <row r="88" spans="1:18" ht="16.5" customHeight="1">
      <c r="A88" s="6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4">
        <f>'[1]20201030百及庫存表'!G89</f>
        <v>44461</v>
      </c>
      <c r="K88">
        <f>'[1]20201030百及庫存表'!K89</f>
        <v>324</v>
      </c>
      <c r="M88" s="8">
        <v>0</v>
      </c>
      <c r="N88" s="8">
        <f>ROUND(M88/30,0)</f>
        <v>0</v>
      </c>
      <c r="O88">
        <v>69</v>
      </c>
      <c r="P88">
        <f>ROUND(O88/30,0)</f>
        <v>2</v>
      </c>
      <c r="Q88">
        <f>ROUND(G88/P88,0)</f>
        <v>75</v>
      </c>
      <c r="R88">
        <v>18</v>
      </c>
    </row>
    <row r="89" spans="1:18" ht="16.5" customHeight="1">
      <c r="A89" s="6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4">
        <f>'[1]20201030百及庫存表'!G90</f>
        <v>44406</v>
      </c>
      <c r="K89">
        <f>'[1]20201030百及庫存表'!K90</f>
        <v>269</v>
      </c>
      <c r="M89" s="8">
        <v>0</v>
      </c>
      <c r="N89" s="8">
        <f>ROUND(M89/30,0)</f>
        <v>0</v>
      </c>
      <c r="O89">
        <v>59</v>
      </c>
      <c r="P89">
        <f>ROUND(O89/30,0)</f>
        <v>2</v>
      </c>
      <c r="Q89">
        <f>ROUND(G89/P89,0)</f>
        <v>129</v>
      </c>
      <c r="R89">
        <v>25</v>
      </c>
    </row>
    <row r="90" spans="1:18" ht="16.5" customHeight="1">
      <c r="A90" s="6" t="s">
        <v>27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4">
        <f>'[1]20201030百及庫存表'!G91</f>
        <v>44255</v>
      </c>
      <c r="K90">
        <f>'[1]20201030百及庫存表'!K91</f>
        <v>118</v>
      </c>
      <c r="M90" s="8">
        <v>0</v>
      </c>
      <c r="N90" s="8">
        <f>ROUND(M90/30,0)</f>
        <v>0</v>
      </c>
      <c r="O90">
        <v>119</v>
      </c>
      <c r="P90">
        <f>ROUND(O90/30,0)</f>
        <v>4</v>
      </c>
      <c r="Q90">
        <f>ROUND(G90/P90,0)</f>
        <v>54</v>
      </c>
      <c r="R90">
        <v>25</v>
      </c>
    </row>
    <row r="91" spans="1:18" ht="16.5" customHeight="1">
      <c r="A91" s="5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4">
        <f>'[1]20201030百及庫存表'!G92</f>
        <v>44446</v>
      </c>
      <c r="K91">
        <f>'[1]20201030百及庫存表'!K92</f>
        <v>309</v>
      </c>
      <c r="M91" s="8">
        <v>0</v>
      </c>
      <c r="N91" s="8">
        <f>ROUND(M91/30,0)</f>
        <v>0</v>
      </c>
      <c r="P91">
        <f>ROUND(O91/30,0)</f>
        <v>0</v>
      </c>
      <c r="Q91">
        <v>0</v>
      </c>
      <c r="R91">
        <v>25</v>
      </c>
    </row>
    <row r="92" spans="1:18" ht="16.5" customHeight="1">
      <c r="A92" s="5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4">
        <f>'[1]20201030百及庫存表'!G93</f>
        <v>44536</v>
      </c>
      <c r="K92">
        <f>'[1]20201030百及庫存表'!K93</f>
        <v>399</v>
      </c>
      <c r="M92" s="8">
        <v>0</v>
      </c>
      <c r="N92" s="8">
        <f>ROUND(M92/30,0)</f>
        <v>0</v>
      </c>
      <c r="P92">
        <f>ROUND(O92/30,0)</f>
        <v>0</v>
      </c>
      <c r="Q92">
        <v>0</v>
      </c>
      <c r="R92">
        <v>25</v>
      </c>
    </row>
    <row r="93" spans="1:18" ht="16.5" customHeight="1">
      <c r="A93" s="5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4">
        <f>'[1]20201030百及庫存表'!G94</f>
        <v>44459</v>
      </c>
      <c r="K93">
        <f>'[1]20201030百及庫存表'!K94</f>
        <v>322</v>
      </c>
      <c r="M93" s="8">
        <v>0</v>
      </c>
      <c r="N93" s="8">
        <f>ROUND(M93/30,0)</f>
        <v>0</v>
      </c>
      <c r="P93">
        <f>ROUND(O93/30,0)</f>
        <v>0</v>
      </c>
      <c r="Q93">
        <v>0</v>
      </c>
      <c r="R93">
        <v>30</v>
      </c>
    </row>
    <row r="94" spans="1:18" ht="16.5" customHeight="1">
      <c r="A94" s="5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4">
        <f>'[1]20201030百及庫存表'!G95</f>
        <v>44494</v>
      </c>
      <c r="K94">
        <f>'[1]20201030百及庫存表'!K95</f>
        <v>357</v>
      </c>
      <c r="M94" s="8">
        <v>0</v>
      </c>
      <c r="N94" s="8">
        <f>ROUND(M94/30,0)</f>
        <v>0</v>
      </c>
      <c r="P94">
        <f>ROUND(O94/30,0)</f>
        <v>0</v>
      </c>
      <c r="Q94">
        <v>0</v>
      </c>
      <c r="R94">
        <v>25</v>
      </c>
    </row>
    <row r="95" spans="1:18" ht="16.5" customHeight="1">
      <c r="A95" s="5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4">
        <f>'[1]20201030百及庫存表'!G96</f>
        <v>44428</v>
      </c>
      <c r="K95">
        <f>'[1]20201030百及庫存表'!K96</f>
        <v>291</v>
      </c>
      <c r="M95" s="8">
        <v>0</v>
      </c>
      <c r="N95" s="8">
        <f>ROUND(M95/30,0)</f>
        <v>0</v>
      </c>
      <c r="P95">
        <f>ROUND(O95/30,0)</f>
        <v>0</v>
      </c>
      <c r="Q95">
        <v>0</v>
      </c>
      <c r="R95">
        <v>18</v>
      </c>
    </row>
    <row r="96" spans="1:18" ht="16.5" customHeight="1">
      <c r="A96" s="6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4">
        <f>'[1]20201030百及庫存表'!G97</f>
        <v>44480</v>
      </c>
      <c r="K96">
        <f>'[1]20201030百及庫存表'!K97</f>
        <v>343</v>
      </c>
      <c r="M96" s="8">
        <v>0</v>
      </c>
      <c r="N96" s="8">
        <f>ROUND(M96/30,0)</f>
        <v>0</v>
      </c>
      <c r="O96">
        <v>198</v>
      </c>
      <c r="P96">
        <f>ROUND(O96/30,0)</f>
        <v>7</v>
      </c>
      <c r="Q96">
        <f>ROUND(G96/P96,0)</f>
        <v>36</v>
      </c>
      <c r="R96">
        <v>18</v>
      </c>
    </row>
    <row r="97" spans="1:18" ht="16.5" customHeight="1">
      <c r="A97" s="6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4">
        <f>'[1]20201030百及庫存表'!G98</f>
        <v>44453</v>
      </c>
      <c r="K97">
        <f>'[1]20201030百及庫存表'!K98</f>
        <v>316</v>
      </c>
      <c r="M97" s="8">
        <v>0</v>
      </c>
      <c r="N97" s="8">
        <f>ROUND(M97/30,0)</f>
        <v>0</v>
      </c>
      <c r="O97">
        <v>215</v>
      </c>
      <c r="P97">
        <f>ROUND(O97/30,0)</f>
        <v>7</v>
      </c>
      <c r="Q97">
        <f>ROUND(G97/P97,0)</f>
        <v>30</v>
      </c>
      <c r="R97">
        <v>18</v>
      </c>
    </row>
    <row r="98" spans="1:18" ht="16.5" customHeight="1">
      <c r="A98" s="5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4">
        <f>'[1]20201030百及庫存表'!G99</f>
        <v>44434</v>
      </c>
      <c r="K98">
        <f>'[1]20201030百及庫存表'!K99</f>
        <v>297</v>
      </c>
      <c r="M98" s="8">
        <v>0</v>
      </c>
      <c r="N98" s="8">
        <f>ROUND(M98/30,0)</f>
        <v>0</v>
      </c>
      <c r="O98">
        <v>91</v>
      </c>
      <c r="P98">
        <f>ROUND(O98/30,0)</f>
        <v>3</v>
      </c>
      <c r="Q98">
        <f>ROUND(G98/P98,0)</f>
        <v>27</v>
      </c>
      <c r="R98">
        <v>18</v>
      </c>
    </row>
    <row r="99" spans="1:18" ht="16.5" customHeight="1">
      <c r="A99" s="6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4">
        <f>'[1]20201030百及庫存表'!G100</f>
        <v>44480</v>
      </c>
      <c r="K99">
        <f>'[1]20201030百及庫存表'!K100</f>
        <v>343</v>
      </c>
      <c r="M99" s="8">
        <v>0</v>
      </c>
      <c r="N99" s="8">
        <f>ROUND(M99/30,0)</f>
        <v>0</v>
      </c>
      <c r="O99">
        <v>91</v>
      </c>
      <c r="P99">
        <f>ROUND(O99/30,0)</f>
        <v>3</v>
      </c>
      <c r="Q99">
        <f>ROUND(G99/P99,0)</f>
        <v>100</v>
      </c>
      <c r="R99">
        <v>18</v>
      </c>
    </row>
    <row r="100" spans="1:18" ht="16.5" customHeight="1">
      <c r="A100" s="5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4">
        <f>'[1]20201030百及庫存表'!G101</f>
        <v>44489</v>
      </c>
      <c r="K100">
        <f>'[1]20201030百及庫存表'!K101</f>
        <v>352</v>
      </c>
      <c r="M100" s="8">
        <v>0</v>
      </c>
      <c r="N100" s="8">
        <f>ROUND(M100/30,0)</f>
        <v>0</v>
      </c>
      <c r="O100">
        <v>643</v>
      </c>
      <c r="P100">
        <f>ROUND(O100/30,0)</f>
        <v>21</v>
      </c>
      <c r="Q100">
        <f>ROUND(G100/P100,0)</f>
        <v>20</v>
      </c>
      <c r="R100">
        <v>18</v>
      </c>
    </row>
    <row r="101" spans="1:18" ht="16.5" customHeight="1">
      <c r="A101" s="5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4">
        <f>'[1]20201030百及庫存表'!G102</f>
        <v>44386</v>
      </c>
      <c r="K101">
        <f>'[1]20201030百及庫存表'!K102</f>
        <v>249</v>
      </c>
      <c r="M101" s="8">
        <v>0</v>
      </c>
      <c r="N101" s="8">
        <f>ROUND(M101/30,0)</f>
        <v>0</v>
      </c>
      <c r="O101">
        <v>232</v>
      </c>
      <c r="P101">
        <f>ROUND(O101/30,0)</f>
        <v>8</v>
      </c>
      <c r="Q101">
        <f>ROUND(G101/P101,0)</f>
        <v>1</v>
      </c>
      <c r="R101">
        <v>25</v>
      </c>
    </row>
    <row r="102" spans="1:18" ht="16.5" customHeight="1">
      <c r="A102" s="6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4">
        <f>'[1]20201030百及庫存表'!G103</f>
        <v>44483</v>
      </c>
      <c r="K102">
        <f>'[1]20201030百及庫存表'!K103</f>
        <v>346</v>
      </c>
      <c r="M102" s="8">
        <v>0</v>
      </c>
      <c r="N102" s="8">
        <f>ROUND(M102/30,0)</f>
        <v>0</v>
      </c>
      <c r="O102">
        <v>232</v>
      </c>
      <c r="P102">
        <f>ROUND(O102/30,0)</f>
        <v>8</v>
      </c>
      <c r="Q102">
        <f>ROUND(G102/P102,0)</f>
        <v>74</v>
      </c>
      <c r="R102">
        <v>25</v>
      </c>
    </row>
    <row r="103" spans="1:18" ht="16.5" customHeight="1">
      <c r="A103" s="5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4">
        <f>'[1]20201030百及庫存表'!G104</f>
        <v>44386</v>
      </c>
      <c r="K103">
        <f>'[1]20201030百及庫存表'!K104</f>
        <v>249</v>
      </c>
      <c r="M103" s="8">
        <v>0</v>
      </c>
      <c r="N103" s="8">
        <f>ROUND(M103/30,0)</f>
        <v>0</v>
      </c>
      <c r="O103">
        <v>232</v>
      </c>
      <c r="P103">
        <f>ROUND(O103/30,0)</f>
        <v>8</v>
      </c>
      <c r="Q103">
        <f>ROUND(G103/P103,0)</f>
        <v>1</v>
      </c>
      <c r="R103">
        <v>25</v>
      </c>
    </row>
    <row r="104" spans="1:18" ht="16.5" customHeight="1">
      <c r="A104" s="5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4">
        <f>'[1]20201030百及庫存表'!G105</f>
        <v>44434</v>
      </c>
      <c r="K104">
        <f>'[1]20201030百及庫存表'!K105</f>
        <v>297</v>
      </c>
      <c r="M104" s="8">
        <v>0</v>
      </c>
      <c r="N104" s="8">
        <f>ROUND(M104/30,0)</f>
        <v>0</v>
      </c>
      <c r="O104">
        <v>131</v>
      </c>
      <c r="P104">
        <f>ROUND(O104/30,0)</f>
        <v>4</v>
      </c>
      <c r="Q104">
        <f>ROUND(G104/P104,0)</f>
        <v>10</v>
      </c>
      <c r="R104">
        <v>18</v>
      </c>
    </row>
    <row r="105" spans="1:18" ht="16.5" customHeight="1">
      <c r="A105" s="6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4">
        <f>'[1]20201030百及庫存表'!G106</f>
        <v>44480</v>
      </c>
      <c r="K105">
        <f>'[1]20201030百及庫存表'!K106</f>
        <v>343</v>
      </c>
      <c r="M105" s="8">
        <v>0</v>
      </c>
      <c r="N105" s="8">
        <f>ROUND(M105/30,0)</f>
        <v>0</v>
      </c>
      <c r="O105">
        <v>131</v>
      </c>
      <c r="P105">
        <f>ROUND(O105/30,0)</f>
        <v>4</v>
      </c>
      <c r="Q105">
        <f>ROUND(G105/P105,0)</f>
        <v>75</v>
      </c>
      <c r="R105">
        <v>18</v>
      </c>
    </row>
    <row r="106" spans="1:18" ht="16.5" customHeight="1">
      <c r="A106" s="6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4">
        <f>'[1]20201030百及庫存表'!G107</f>
        <v>44453</v>
      </c>
      <c r="K106">
        <f>'[1]20201030百及庫存表'!K107</f>
        <v>316</v>
      </c>
      <c r="M106" s="8">
        <v>0</v>
      </c>
      <c r="N106" s="8">
        <f>ROUND(M106/30,0)</f>
        <v>0</v>
      </c>
      <c r="O106">
        <v>159</v>
      </c>
      <c r="P106">
        <f>ROUND(O106/30,0)</f>
        <v>5</v>
      </c>
      <c r="Q106">
        <f>ROUND(G106/P106,0)</f>
        <v>42</v>
      </c>
      <c r="R106">
        <v>18</v>
      </c>
    </row>
    <row r="107" spans="1:18" ht="16.5" customHeight="1">
      <c r="A107" s="6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4">
        <f>'[1]20201030百及庫存表'!G108</f>
        <v>44447</v>
      </c>
      <c r="K107">
        <f>'[1]20201030百及庫存表'!K108</f>
        <v>310</v>
      </c>
      <c r="M107" s="8">
        <v>0</v>
      </c>
      <c r="N107" s="8">
        <f>ROUND(M107/30,0)</f>
        <v>0</v>
      </c>
      <c r="O107">
        <v>69</v>
      </c>
      <c r="P107">
        <f>ROUND(O107/30,0)</f>
        <v>2</v>
      </c>
      <c r="Q107">
        <f>ROUND(G107/P107,0)</f>
        <v>81</v>
      </c>
      <c r="R107">
        <v>25</v>
      </c>
    </row>
    <row r="108" spans="1:18" ht="16.5" customHeight="1">
      <c r="A108" s="5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4">
        <f>'[1]20201030百及庫存表'!G109</f>
        <v>44448</v>
      </c>
      <c r="K108">
        <f>'[1]20201030百及庫存表'!K109</f>
        <v>311</v>
      </c>
      <c r="M108" s="8">
        <v>0</v>
      </c>
      <c r="N108" s="8">
        <f>ROUND(M108/30,0)</f>
        <v>0</v>
      </c>
      <c r="O108">
        <v>276</v>
      </c>
      <c r="P108">
        <f>ROUND(O108/30,0)</f>
        <v>9</v>
      </c>
      <c r="Q108">
        <f>ROUND(G108/P108,0)</f>
        <v>3</v>
      </c>
      <c r="R108">
        <v>18</v>
      </c>
    </row>
    <row r="109" spans="1:18" ht="16.5" customHeight="1">
      <c r="A109" s="6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4">
        <f>'[1]20201030百及庫存表'!G110</f>
        <v>44474</v>
      </c>
      <c r="K109">
        <f>'[1]20201030百及庫存表'!K110</f>
        <v>337</v>
      </c>
      <c r="M109" s="8">
        <v>0</v>
      </c>
      <c r="N109" s="8">
        <f>ROUND(M109/30,0)</f>
        <v>0</v>
      </c>
      <c r="O109">
        <v>276</v>
      </c>
      <c r="P109">
        <f>ROUND(O109/30,0)</f>
        <v>9</v>
      </c>
      <c r="Q109">
        <f>ROUND(G109/P109,0)</f>
        <v>33</v>
      </c>
      <c r="R109">
        <v>18</v>
      </c>
    </row>
    <row r="110" spans="1:18" ht="16.5" customHeight="1">
      <c r="A110" s="6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4">
        <f>'[1]20201030百及庫存表'!G111</f>
        <v>44620</v>
      </c>
      <c r="K110">
        <f>'[1]20201030百及庫存表'!K111</f>
        <v>483</v>
      </c>
      <c r="L110" s="8">
        <v>600</v>
      </c>
      <c r="M110" s="8">
        <v>89</v>
      </c>
      <c r="N110" s="8">
        <f>ROUND(M110/30,0)</f>
        <v>3</v>
      </c>
      <c r="O110">
        <v>202</v>
      </c>
      <c r="P110">
        <f>ROUND(O110/30,0)</f>
        <v>7</v>
      </c>
      <c r="Q110">
        <f>ROUND(G110/P110,0)</f>
        <v>47</v>
      </c>
      <c r="R110">
        <v>30</v>
      </c>
    </row>
    <row r="111" spans="1:18" ht="16.5" customHeight="1">
      <c r="A111" s="6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4">
        <f>'[1]20201030百及庫存表'!G112</f>
        <v>44653</v>
      </c>
      <c r="K111">
        <f>'[1]20201030百及庫存表'!K112</f>
        <v>516</v>
      </c>
      <c r="L111" s="8">
        <v>1200</v>
      </c>
      <c r="M111" s="8">
        <v>101</v>
      </c>
      <c r="N111" s="8">
        <f>ROUND(M111/30,0)</f>
        <v>3</v>
      </c>
      <c r="O111">
        <v>358</v>
      </c>
      <c r="P111">
        <f>ROUND(O111/30,0)</f>
        <v>12</v>
      </c>
      <c r="Q111">
        <f>ROUND(G111/P111,0)</f>
        <v>101</v>
      </c>
      <c r="R111">
        <v>30</v>
      </c>
    </row>
    <row r="112" spans="1:18" ht="16.5" customHeight="1">
      <c r="A112" s="5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4">
        <f>'[1]20201030百及庫存表'!G113</f>
        <v>44756</v>
      </c>
      <c r="K112">
        <f>'[1]20201030百及庫存表'!K113</f>
        <v>619</v>
      </c>
      <c r="M112" s="8">
        <v>0</v>
      </c>
      <c r="N112" s="8">
        <f>ROUND(M112/30,0)</f>
        <v>0</v>
      </c>
      <c r="O112">
        <v>124</v>
      </c>
      <c r="P112">
        <f>ROUND(O112/30,0)</f>
        <v>4</v>
      </c>
      <c r="Q112">
        <f>ROUND(G112/P112,0)</f>
        <v>18</v>
      </c>
      <c r="R112">
        <v>25</v>
      </c>
    </row>
    <row r="113" spans="1:18" ht="16.5" customHeight="1">
      <c r="A113" s="6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4">
        <f>'[1]20201030百及庫存表'!G114</f>
        <v>44833</v>
      </c>
      <c r="K113">
        <f>'[1]20201030百及庫存表'!K114</f>
        <v>696</v>
      </c>
      <c r="M113" s="8">
        <v>0</v>
      </c>
      <c r="N113" s="8">
        <f>ROUND(M113/30,0)</f>
        <v>0</v>
      </c>
      <c r="O113">
        <v>124</v>
      </c>
      <c r="P113">
        <f>ROUND(O113/30,0)</f>
        <v>4</v>
      </c>
      <c r="Q113">
        <f>ROUND(G113/P113,0)</f>
        <v>75</v>
      </c>
      <c r="R113">
        <v>25</v>
      </c>
    </row>
    <row r="114" spans="1:18" ht="16.5" customHeight="1">
      <c r="A114" s="6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4">
        <f>'[1]20201030百及庫存表'!G115</f>
        <v>45051</v>
      </c>
      <c r="K114">
        <f>'[1]20201030百及庫存表'!K115</f>
        <v>914</v>
      </c>
      <c r="L114" s="8">
        <v>8000</v>
      </c>
      <c r="M114" s="8">
        <v>902</v>
      </c>
      <c r="N114" s="8">
        <f>ROUND(M114/30,0)</f>
        <v>30</v>
      </c>
      <c r="O114">
        <v>266</v>
      </c>
      <c r="P114">
        <f>ROUND(O114/30,0)</f>
        <v>9</v>
      </c>
      <c r="Q114">
        <f>ROUND(G114/P114,0)</f>
        <v>440</v>
      </c>
      <c r="R114">
        <v>30</v>
      </c>
    </row>
    <row r="115" spans="1:18" ht="16.5" customHeight="1">
      <c r="A115" s="5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4">
        <f>'[1]20201030百及庫存表'!G116</f>
        <v>45149</v>
      </c>
      <c r="K115">
        <f>'[1]20201030百及庫存表'!K116</f>
        <v>1012</v>
      </c>
      <c r="M115" s="8">
        <v>0</v>
      </c>
      <c r="N115" s="8">
        <f>ROUND(M115/30,0)</f>
        <v>0</v>
      </c>
      <c r="P115">
        <f>ROUND(O115/30,0)</f>
        <v>0</v>
      </c>
      <c r="Q115">
        <v>0</v>
      </c>
      <c r="R115">
        <v>30</v>
      </c>
    </row>
    <row r="116" spans="1:18" ht="16.5" customHeight="1">
      <c r="A116" s="6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4">
        <f>'[1]20201030百及庫存表'!G117</f>
        <v>45037</v>
      </c>
      <c r="K116">
        <f>'[1]20201030百及庫存表'!K117</f>
        <v>900</v>
      </c>
      <c r="L116" s="8">
        <v>8000</v>
      </c>
      <c r="M116" s="8">
        <v>199</v>
      </c>
      <c r="N116" s="8">
        <f>ROUND(M116/30,0)</f>
        <v>7</v>
      </c>
      <c r="O116">
        <v>1209</v>
      </c>
      <c r="P116">
        <f>ROUND(O116/30,0)</f>
        <v>40</v>
      </c>
      <c r="Q116">
        <f>ROUND(G116/P116,0)</f>
        <v>98</v>
      </c>
      <c r="R116">
        <v>30</v>
      </c>
    </row>
    <row r="117" spans="1:18" ht="16.5" customHeight="1">
      <c r="A117" s="5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4">
        <f>'[1]20201030百及庫存表'!G118</f>
        <v>45037</v>
      </c>
      <c r="K117">
        <f>'[1]20201030百及庫存表'!K118</f>
        <v>900</v>
      </c>
      <c r="L117" s="8">
        <v>8000</v>
      </c>
      <c r="M117" s="8">
        <v>199</v>
      </c>
      <c r="N117" s="8">
        <f>ROUND(M117/30,0)</f>
        <v>7</v>
      </c>
      <c r="O117">
        <v>1209</v>
      </c>
      <c r="P117">
        <f>ROUND(O117/30,0)</f>
        <v>40</v>
      </c>
      <c r="Q117">
        <f>ROUND(G117/P117,0)</f>
        <v>0</v>
      </c>
      <c r="R117">
        <v>30</v>
      </c>
    </row>
    <row r="118" spans="1:18" ht="16.5" customHeight="1">
      <c r="A118" s="6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4">
        <f>'[1]20201030百及庫存表'!G119</f>
        <v>44756</v>
      </c>
      <c r="K118">
        <f>'[1]20201030百及庫存表'!K119</f>
        <v>619</v>
      </c>
      <c r="M118" s="8">
        <v>0</v>
      </c>
      <c r="N118" s="8">
        <f>ROUND(M118/30,0)</f>
        <v>0</v>
      </c>
      <c r="O118">
        <v>29</v>
      </c>
      <c r="P118">
        <f>ROUND(O118/30,0)</f>
        <v>1</v>
      </c>
      <c r="Q118">
        <f>ROUND(G118/P118,0)</f>
        <v>564</v>
      </c>
      <c r="R118">
        <v>40</v>
      </c>
    </row>
    <row r="119" spans="1:18" ht="16.5" customHeight="1">
      <c r="A119" s="5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4">
        <f>'[1]20201030百及庫存表'!G120</f>
        <v>45068</v>
      </c>
      <c r="K119">
        <f>'[1]20201030百及庫存表'!K120</f>
        <v>931</v>
      </c>
      <c r="M119" s="8">
        <v>0</v>
      </c>
      <c r="N119" s="8">
        <f>ROUND(M119/30,0)</f>
        <v>0</v>
      </c>
      <c r="P119">
        <f>ROUND(O119/30,0)</f>
        <v>0</v>
      </c>
      <c r="Q119">
        <v>0</v>
      </c>
      <c r="R119">
        <v>30</v>
      </c>
    </row>
    <row r="120" spans="1:18" ht="16.5" customHeight="1">
      <c r="A120" s="6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4">
        <f>'[1]20201030百及庫存表'!G121</f>
        <v>45052</v>
      </c>
      <c r="K120">
        <f>'[1]20201030百及庫存表'!K121</f>
        <v>915</v>
      </c>
      <c r="M120" s="8">
        <v>0</v>
      </c>
      <c r="N120" s="8">
        <f>ROUND(M120/30,0)</f>
        <v>0</v>
      </c>
      <c r="O120">
        <v>193</v>
      </c>
      <c r="P120">
        <f>ROUND(O120/30,0)</f>
        <v>6</v>
      </c>
      <c r="Q120">
        <f>ROUND(G120/P120,0)</f>
        <v>118</v>
      </c>
      <c r="R120">
        <v>30</v>
      </c>
    </row>
    <row r="121" spans="1:18" ht="16.5" customHeight="1">
      <c r="A121" s="6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4">
        <f>'[1]20201030百及庫存表'!G122</f>
        <v>45071</v>
      </c>
      <c r="K121">
        <f>'[1]20201030百及庫存表'!K122</f>
        <v>934</v>
      </c>
      <c r="M121" s="8">
        <v>0</v>
      </c>
      <c r="N121" s="8">
        <f>ROUND(M121/30,0)</f>
        <v>0</v>
      </c>
      <c r="O121">
        <v>130</v>
      </c>
      <c r="P121">
        <f>ROUND(O121/30,0)</f>
        <v>4</v>
      </c>
      <c r="Q121">
        <f>ROUND(G121/P121,0)</f>
        <v>417</v>
      </c>
      <c r="R121">
        <v>30</v>
      </c>
    </row>
    <row r="122" spans="1:18" ht="16.5" customHeight="1">
      <c r="A122" s="5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4">
        <f>'[1]20201030百及庫存表'!G123</f>
        <v>44489</v>
      </c>
      <c r="K122">
        <f>'[1]20201030百及庫存表'!K123</f>
        <v>352</v>
      </c>
      <c r="M122" s="8">
        <v>0</v>
      </c>
      <c r="N122" s="8">
        <f>ROUND(M122/30,0)</f>
        <v>0</v>
      </c>
      <c r="O122">
        <v>775</v>
      </c>
      <c r="P122">
        <f>ROUND(O122/30,0)</f>
        <v>26</v>
      </c>
      <c r="Q122">
        <f>ROUND(G122/P122,0)</f>
        <v>12</v>
      </c>
      <c r="R122">
        <v>25</v>
      </c>
    </row>
    <row r="123" spans="1:18" ht="16.5" customHeight="1">
      <c r="A123" s="5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4">
        <f>'[1]20201030百及庫存表'!G124</f>
        <v>45929</v>
      </c>
      <c r="K123">
        <f>'[1]20201030百及庫存表'!K124</f>
        <v>1792</v>
      </c>
      <c r="M123" s="8">
        <v>0</v>
      </c>
      <c r="N123" s="8">
        <f>ROUND(M123/30,0)</f>
        <v>0</v>
      </c>
      <c r="P123">
        <f>ROUND(O123/30,0)</f>
        <v>0</v>
      </c>
      <c r="Q123">
        <v>0</v>
      </c>
      <c r="R123">
        <v>20</v>
      </c>
    </row>
    <row r="124" spans="1:18" ht="16.5" customHeight="1">
      <c r="A124" s="5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4">
        <f>'[1]20201030百及庫存表'!G125</f>
        <v>45039</v>
      </c>
      <c r="K124">
        <f>'[1]20201030百及庫存表'!K125</f>
        <v>902</v>
      </c>
      <c r="M124" s="8">
        <v>0</v>
      </c>
      <c r="N124" s="8">
        <f>ROUND(M124/30,0)</f>
        <v>0</v>
      </c>
      <c r="P124">
        <f>ROUND(O124/30,0)</f>
        <v>0</v>
      </c>
      <c r="Q124">
        <v>0</v>
      </c>
      <c r="R124">
        <v>20</v>
      </c>
    </row>
    <row r="125" spans="1:18" ht="16.5" customHeight="1">
      <c r="A125" s="5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4">
        <f>'[1]20201030百及庫存表'!G126</f>
        <v>44780</v>
      </c>
      <c r="K125">
        <f>'[1]20201030百及庫存表'!K126</f>
        <v>643</v>
      </c>
      <c r="M125" s="8">
        <v>0</v>
      </c>
      <c r="N125" s="8">
        <f>ROUND(M125/30,0)</f>
        <v>0</v>
      </c>
      <c r="P125">
        <f>ROUND(O125/30,0)</f>
        <v>0</v>
      </c>
      <c r="Q125">
        <v>0</v>
      </c>
      <c r="R125">
        <v>14</v>
      </c>
    </row>
    <row r="126" spans="1:18" ht="16.5" customHeight="1">
      <c r="A126" s="5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4">
        <f>'[1]20201030百及庫存表'!G127</f>
        <v>44909</v>
      </c>
      <c r="K126">
        <f>'[1]20201030百及庫存表'!K127</f>
        <v>772</v>
      </c>
      <c r="M126" s="8">
        <v>0</v>
      </c>
      <c r="N126" s="8">
        <f>ROUND(M126/30,0)</f>
        <v>0</v>
      </c>
      <c r="P126">
        <f>ROUND(O126/30,0)</f>
        <v>0</v>
      </c>
      <c r="Q126">
        <v>0</v>
      </c>
      <c r="R126">
        <v>14</v>
      </c>
    </row>
    <row r="127" spans="1:18" ht="16.5" customHeight="1">
      <c r="A127" s="5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4">
        <f>'[1]20201030百及庫存表'!G128</f>
        <v>73020</v>
      </c>
      <c r="K127">
        <f>'[1]20201030百及庫存表'!K128</f>
        <v>28883</v>
      </c>
      <c r="M127" s="8">
        <v>0</v>
      </c>
      <c r="N127" s="8">
        <f>ROUND(M127/30,0)</f>
        <v>0</v>
      </c>
      <c r="P127">
        <f>ROUND(O127/30,0)</f>
        <v>0</v>
      </c>
      <c r="Q127">
        <v>0</v>
      </c>
      <c r="R127">
        <v>14</v>
      </c>
    </row>
    <row r="128" spans="1:18" ht="16.5" customHeight="1">
      <c r="A128" s="5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4">
        <f>'[1]20201030百及庫存表'!G129</f>
        <v>73020</v>
      </c>
      <c r="K128">
        <f>'[1]20201030百及庫存表'!K129</f>
        <v>28883</v>
      </c>
      <c r="M128" s="8">
        <v>0</v>
      </c>
      <c r="N128" s="8">
        <f>ROUND(M128/30,0)</f>
        <v>0</v>
      </c>
      <c r="P128">
        <f>ROUND(O128/30,0)</f>
        <v>0</v>
      </c>
      <c r="Q128">
        <v>0</v>
      </c>
      <c r="R128">
        <v>14</v>
      </c>
    </row>
    <row r="129" spans="1:18" ht="16.5" customHeight="1">
      <c r="A129" s="5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4">
        <f>'[1]20201030百及庫存表'!G130</f>
        <v>72686</v>
      </c>
      <c r="K129">
        <f>'[1]20201030百及庫存表'!K130</f>
        <v>28549</v>
      </c>
      <c r="M129" s="8">
        <v>0</v>
      </c>
      <c r="N129" s="8">
        <f>ROUND(M129/30,0)</f>
        <v>0</v>
      </c>
      <c r="P129">
        <f>ROUND(O129/30,0)</f>
        <v>0</v>
      </c>
      <c r="Q129">
        <v>0</v>
      </c>
      <c r="R129">
        <v>20</v>
      </c>
    </row>
    <row r="130" spans="1:18" ht="16.5" customHeight="1">
      <c r="A130" s="5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4">
        <f>'[1]20201030百及庫存表'!G131</f>
        <v>44034</v>
      </c>
      <c r="K130">
        <f>'[1]20201030百及庫存表'!K131</f>
        <v>-103</v>
      </c>
      <c r="M130" s="8">
        <v>0</v>
      </c>
      <c r="N130" s="8">
        <f>ROUND(M130/30,0)</f>
        <v>0</v>
      </c>
      <c r="P130">
        <f>ROUND(O130/30,0)</f>
        <v>0</v>
      </c>
      <c r="Q130">
        <v>0</v>
      </c>
      <c r="R130">
        <v>14</v>
      </c>
    </row>
    <row r="131" spans="1:18" ht="16.5" customHeight="1">
      <c r="A131" s="6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4">
        <f>'[1]20201030百及庫存表'!G132</f>
        <v>44855</v>
      </c>
      <c r="K131">
        <f>'[1]20201030百及庫存表'!K132</f>
        <v>718</v>
      </c>
      <c r="M131" s="8">
        <v>0</v>
      </c>
      <c r="N131" s="8">
        <f>ROUND(M131/30,0)</f>
        <v>0</v>
      </c>
      <c r="O131">
        <v>343</v>
      </c>
      <c r="P131">
        <f>ROUND(O131/30,0)</f>
        <v>11</v>
      </c>
      <c r="Q131">
        <f>ROUND(G131/P131,0)</f>
        <v>43</v>
      </c>
      <c r="R131">
        <v>30</v>
      </c>
    </row>
    <row r="132" spans="1:18" ht="16.5" customHeight="1">
      <c r="A132" s="5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4">
        <f>'[1]20201030百及庫存表'!G133</f>
        <v>44705</v>
      </c>
      <c r="K132">
        <f>'[1]20201030百及庫存表'!K133</f>
        <v>568</v>
      </c>
      <c r="M132" s="8">
        <v>0</v>
      </c>
      <c r="N132" s="8">
        <f>ROUND(M132/30,0)</f>
        <v>0</v>
      </c>
      <c r="O132">
        <v>69</v>
      </c>
      <c r="P132">
        <f>ROUND(O132/30,0)</f>
        <v>2</v>
      </c>
      <c r="Q132">
        <f>ROUND(G132/P132,0)</f>
        <v>8</v>
      </c>
      <c r="R132">
        <v>30</v>
      </c>
    </row>
    <row r="133" spans="1:18" ht="16.5" customHeight="1">
      <c r="A133" s="5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4">
        <f>'[1]20201030百及庫存表'!G134</f>
        <v>44526</v>
      </c>
      <c r="K133">
        <f>'[1]20201030百及庫存表'!K134</f>
        <v>389</v>
      </c>
      <c r="L133" s="8">
        <v>72000</v>
      </c>
      <c r="M133" s="8">
        <v>98</v>
      </c>
      <c r="N133" s="8">
        <f>ROUND(M133/30,0)</f>
        <v>3</v>
      </c>
      <c r="O133">
        <v>22065</v>
      </c>
      <c r="P133">
        <f>ROUND(O133/30,0)</f>
        <v>736</v>
      </c>
      <c r="Q133">
        <f>ROUND(G133/P133,0)</f>
        <v>1</v>
      </c>
      <c r="R133">
        <v>30</v>
      </c>
    </row>
    <row r="134" spans="1:18" ht="16.5" customHeight="1">
      <c r="A134" s="5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4">
        <f>'[1]20201030百及庫存表'!G135</f>
        <v>44648</v>
      </c>
      <c r="K134">
        <f>'[1]20201030百及庫存表'!K135</f>
        <v>511</v>
      </c>
      <c r="L134" s="8">
        <v>72000</v>
      </c>
      <c r="M134" s="8">
        <v>98</v>
      </c>
      <c r="N134" s="8">
        <f>ROUND(M134/30,0)</f>
        <v>3</v>
      </c>
      <c r="O134">
        <v>22065</v>
      </c>
      <c r="P134">
        <f>ROUND(O134/30,0)</f>
        <v>736</v>
      </c>
      <c r="Q134">
        <f>ROUND(G134/P134,0)</f>
        <v>24</v>
      </c>
      <c r="R134">
        <v>30</v>
      </c>
    </row>
    <row r="135" spans="1:18" ht="16.5" customHeight="1">
      <c r="A135" s="5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4">
        <f>'[1]20201030百及庫存表'!G136</f>
        <v>44602</v>
      </c>
      <c r="K135">
        <f>'[1]20201030百及庫存表'!K136</f>
        <v>465</v>
      </c>
      <c r="M135" s="8">
        <v>0</v>
      </c>
      <c r="N135" s="8">
        <f>ROUND(M135/30,0)</f>
        <v>0</v>
      </c>
      <c r="P135">
        <f>ROUND(O135/30,0)</f>
        <v>0</v>
      </c>
      <c r="Q135">
        <v>0</v>
      </c>
      <c r="R135">
        <v>20</v>
      </c>
    </row>
    <row r="136" spans="1:18" ht="16.5" customHeight="1">
      <c r="A136" s="5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4">
        <f>'[1]20201030百及庫存表'!G137</f>
        <v>44602</v>
      </c>
      <c r="K136">
        <f>'[1]20201030百及庫存表'!K137</f>
        <v>465</v>
      </c>
      <c r="M136" s="8">
        <v>0</v>
      </c>
      <c r="N136" s="8">
        <f>ROUND(M136/30,0)</f>
        <v>0</v>
      </c>
      <c r="P136">
        <f>ROUND(O136/30,0)</f>
        <v>0</v>
      </c>
      <c r="Q136">
        <v>0</v>
      </c>
      <c r="R136">
        <v>20</v>
      </c>
    </row>
    <row r="137" spans="1:18" ht="16.5" customHeight="1">
      <c r="A137" s="5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4">
        <f>'[1]20201030百及庫存表'!G138</f>
        <v>44365</v>
      </c>
      <c r="K137">
        <f>'[1]20201030百及庫存表'!K138</f>
        <v>228</v>
      </c>
      <c r="M137" s="8">
        <v>0</v>
      </c>
      <c r="N137" s="8">
        <f>ROUND(M137/30,0)</f>
        <v>0</v>
      </c>
      <c r="P137">
        <f>ROUND(O137/30,0)</f>
        <v>0</v>
      </c>
      <c r="Q137">
        <v>0</v>
      </c>
      <c r="R137">
        <v>30</v>
      </c>
    </row>
    <row r="138" spans="1:18" ht="16.5" customHeight="1">
      <c r="A138" s="5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4">
        <f>'[1]20201030百及庫存表'!G139</f>
        <v>44347</v>
      </c>
      <c r="K138">
        <f>'[1]20201030百及庫存表'!K139</f>
        <v>210</v>
      </c>
      <c r="M138" s="8">
        <v>0</v>
      </c>
      <c r="N138" s="8">
        <f>ROUND(M138/30,0)</f>
        <v>0</v>
      </c>
      <c r="P138">
        <f>ROUND(O138/30,0)</f>
        <v>0</v>
      </c>
      <c r="Q138">
        <v>0</v>
      </c>
      <c r="R138">
        <v>30</v>
      </c>
    </row>
    <row r="139" spans="1:18" ht="16.5" customHeight="1">
      <c r="A139" s="6" t="s">
        <v>27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4">
        <f>'[1]20201030百及庫存表'!G140</f>
        <v>44226</v>
      </c>
      <c r="K139">
        <f>'[1]20201030百及庫存表'!K140</f>
        <v>89</v>
      </c>
      <c r="M139" s="8">
        <v>0</v>
      </c>
      <c r="N139" s="8">
        <f>ROUND(M139/30,0)</f>
        <v>0</v>
      </c>
      <c r="O139">
        <v>129</v>
      </c>
      <c r="P139">
        <f>ROUND(O139/30,0)</f>
        <v>4</v>
      </c>
      <c r="Q139">
        <f>ROUND(G139/P139,0)</f>
        <v>295</v>
      </c>
    </row>
    <row r="140" spans="1:18" ht="16.5" customHeight="1">
      <c r="A140" s="5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4">
        <f>'[1]20201030百及庫存表'!G141</f>
        <v>44751</v>
      </c>
      <c r="K140">
        <f>'[1]20201030百及庫存表'!K141</f>
        <v>614</v>
      </c>
      <c r="M140" s="8">
        <v>0</v>
      </c>
      <c r="N140" s="8">
        <f>ROUND(M140/30,0)</f>
        <v>0</v>
      </c>
      <c r="O140">
        <v>392</v>
      </c>
      <c r="P140">
        <f>ROUND(O140/30,0)</f>
        <v>13</v>
      </c>
      <c r="Q140">
        <f>ROUND(G140/P140,0)</f>
        <v>0</v>
      </c>
      <c r="R140">
        <v>25</v>
      </c>
    </row>
    <row r="141" spans="1:18" ht="16.5" customHeight="1">
      <c r="A141" s="5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4">
        <f>'[1]20201030百及庫存表'!G142</f>
        <v>44786</v>
      </c>
      <c r="K141">
        <f>'[1]20201030百及庫存表'!K142</f>
        <v>649</v>
      </c>
      <c r="M141" s="8">
        <v>0</v>
      </c>
      <c r="N141" s="8">
        <f>ROUND(M141/30,0)</f>
        <v>0</v>
      </c>
      <c r="O141">
        <v>392</v>
      </c>
      <c r="P141">
        <f>ROUND(O141/30,0)</f>
        <v>13</v>
      </c>
      <c r="Q141">
        <f>ROUND(G141/P141,0)</f>
        <v>8</v>
      </c>
      <c r="R141">
        <v>25</v>
      </c>
    </row>
    <row r="142" spans="1:18" ht="16.5" customHeight="1">
      <c r="A142" s="6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4">
        <f>'[1]20201030百及庫存表'!G143</f>
        <v>44850</v>
      </c>
      <c r="K142">
        <f>'[1]20201030百及庫存表'!K143</f>
        <v>713</v>
      </c>
      <c r="M142" s="8">
        <v>0</v>
      </c>
      <c r="N142" s="8">
        <f>ROUND(M142/30,0)</f>
        <v>0</v>
      </c>
      <c r="O142">
        <v>50</v>
      </c>
      <c r="P142">
        <f>ROUND(O142/30,0)</f>
        <v>2</v>
      </c>
      <c r="Q142">
        <f>ROUND(G142/P142,0)</f>
        <v>642</v>
      </c>
      <c r="R142">
        <v>30</v>
      </c>
    </row>
    <row r="143" spans="1:18" ht="16.5" customHeight="1">
      <c r="A143" s="6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4">
        <f>'[1]20201030百及庫存表'!G144</f>
        <v>44850</v>
      </c>
      <c r="K143">
        <f>'[1]20201030百及庫存表'!K144</f>
        <v>713</v>
      </c>
      <c r="M143" s="8">
        <v>0</v>
      </c>
      <c r="N143" s="8">
        <f>ROUND(M143/30,0)</f>
        <v>0</v>
      </c>
      <c r="O143">
        <v>29</v>
      </c>
      <c r="P143">
        <f>ROUND(O143/30,0)</f>
        <v>1</v>
      </c>
      <c r="Q143">
        <f>ROUND(G143/P143,0)</f>
        <v>900</v>
      </c>
      <c r="R143">
        <v>30</v>
      </c>
    </row>
    <row r="144" spans="1:18" ht="16.5" customHeight="1">
      <c r="A144" s="5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4">
        <f>'[1]20201030百及庫存表'!G145</f>
        <v>44743</v>
      </c>
      <c r="K144">
        <f>'[1]20201030百及庫存表'!K145</f>
        <v>606</v>
      </c>
      <c r="M144" s="8">
        <v>0</v>
      </c>
      <c r="N144" s="8">
        <f>ROUND(M144/30,0)</f>
        <v>0</v>
      </c>
      <c r="P144">
        <f>ROUND(O144/30,0)</f>
        <v>0</v>
      </c>
      <c r="Q144">
        <v>0</v>
      </c>
      <c r="R144">
        <v>40</v>
      </c>
    </row>
    <row r="145" spans="1:18" ht="16.5" customHeight="1">
      <c r="A145" s="5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4">
        <f>'[1]20201030百及庫存表'!G146</f>
        <v>44762</v>
      </c>
      <c r="K145">
        <f>'[1]20201030百及庫存表'!K146</f>
        <v>625</v>
      </c>
      <c r="M145" s="8">
        <v>0</v>
      </c>
      <c r="N145" s="8">
        <f>ROUND(M145/30,0)</f>
        <v>0</v>
      </c>
      <c r="P145">
        <f>ROUND(O145/30,0)</f>
        <v>0</v>
      </c>
      <c r="Q145">
        <v>0</v>
      </c>
      <c r="R145">
        <v>40</v>
      </c>
    </row>
    <row r="146" spans="1:18" ht="16.5" customHeight="1">
      <c r="A146" s="6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4">
        <f>'[1]20201030百及庫存表'!G147</f>
        <v>44685</v>
      </c>
      <c r="K146">
        <f>'[1]20201030百及庫存表'!K147</f>
        <v>548</v>
      </c>
      <c r="L146" s="8">
        <v>1500</v>
      </c>
      <c r="M146" s="8">
        <v>349</v>
      </c>
      <c r="N146" s="8">
        <f>ROUND(M146/30,0)</f>
        <v>12</v>
      </c>
      <c r="O146">
        <v>129</v>
      </c>
      <c r="P146">
        <f>ROUND(O146/30,0)</f>
        <v>4</v>
      </c>
      <c r="Q146">
        <f>ROUND(G146/P146,0)</f>
        <v>204</v>
      </c>
      <c r="R146">
        <v>30</v>
      </c>
    </row>
    <row r="147" spans="1:18" ht="16.5" customHeight="1">
      <c r="A147" s="6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4">
        <f>'[1]20201030百及庫存表'!G148</f>
        <v>44685</v>
      </c>
      <c r="K147">
        <f>'[1]20201030百及庫存表'!K148</f>
        <v>548</v>
      </c>
      <c r="L147" s="8">
        <v>1500</v>
      </c>
      <c r="M147" s="8">
        <v>372</v>
      </c>
      <c r="N147" s="8">
        <f>ROUND(M147/30,0)</f>
        <v>12</v>
      </c>
      <c r="O147">
        <v>121</v>
      </c>
      <c r="P147">
        <f>ROUND(O147/30,0)</f>
        <v>4</v>
      </c>
      <c r="Q147">
        <f>ROUND(G147/P147,0)</f>
        <v>351</v>
      </c>
      <c r="R147">
        <v>30</v>
      </c>
    </row>
    <row r="148" spans="1:18" ht="16.5" customHeight="1">
      <c r="A148" s="5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4">
        <f>'[1]20201030百及庫存表'!G149</f>
        <v>44329</v>
      </c>
      <c r="K148">
        <f>'[1]20201030百及庫存表'!K149</f>
        <v>192</v>
      </c>
      <c r="M148" s="8">
        <v>0</v>
      </c>
      <c r="N148" s="8">
        <f>ROUND(M148/30,0)</f>
        <v>0</v>
      </c>
      <c r="O148">
        <v>144</v>
      </c>
      <c r="P148">
        <f>ROUND(O148/30,0)</f>
        <v>5</v>
      </c>
      <c r="Q148">
        <f>ROUND(G148/P148,0)</f>
        <v>14</v>
      </c>
      <c r="R148">
        <v>25</v>
      </c>
    </row>
    <row r="149" spans="1:18" ht="16.5" customHeight="1">
      <c r="A149" s="6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4">
        <f>'[1]20201030百及庫存表'!G150</f>
        <v>44484</v>
      </c>
      <c r="K149">
        <f>'[1]20201030百及庫存表'!K150</f>
        <v>347</v>
      </c>
      <c r="M149" s="8">
        <v>0</v>
      </c>
      <c r="N149" s="8">
        <f>ROUND(M149/30,0)</f>
        <v>0</v>
      </c>
      <c r="O149">
        <v>144</v>
      </c>
      <c r="P149">
        <f>ROUND(O149/30,0)</f>
        <v>5</v>
      </c>
      <c r="Q149">
        <f>ROUND(G149/P149,0)</f>
        <v>116</v>
      </c>
      <c r="R149">
        <v>25</v>
      </c>
    </row>
    <row r="150" spans="1:18" ht="16.5" customHeight="1">
      <c r="A150" s="5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4">
        <f>'[1]20201030百及庫存表'!G151</f>
        <v>44329</v>
      </c>
      <c r="K150">
        <f>'[1]20201030百及庫存表'!K151</f>
        <v>192</v>
      </c>
      <c r="M150" s="8">
        <v>0</v>
      </c>
      <c r="N150" s="8">
        <f>ROUND(M150/30,0)</f>
        <v>0</v>
      </c>
      <c r="O150">
        <v>147</v>
      </c>
      <c r="P150">
        <f>ROUND(O150/30,0)</f>
        <v>5</v>
      </c>
      <c r="Q150">
        <f>ROUND(G150/P150,0)</f>
        <v>2</v>
      </c>
      <c r="R150">
        <v>25</v>
      </c>
    </row>
    <row r="151" spans="1:18" ht="16.5" customHeight="1">
      <c r="A151" s="6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4">
        <f>'[1]20201030百及庫存表'!G152</f>
        <v>44484</v>
      </c>
      <c r="K151">
        <f>'[1]20201030百及庫存表'!K152</f>
        <v>347</v>
      </c>
      <c r="M151" s="8">
        <v>0</v>
      </c>
      <c r="N151" s="8">
        <f>ROUND(M151/30,0)</f>
        <v>0</v>
      </c>
      <c r="O151">
        <v>147</v>
      </c>
      <c r="P151">
        <f>ROUND(O151/30,0)</f>
        <v>5</v>
      </c>
      <c r="Q151">
        <f>ROUND(G151/P151,0)</f>
        <v>107</v>
      </c>
      <c r="R151">
        <v>25</v>
      </c>
    </row>
    <row r="152" spans="1:18" ht="16.5" customHeight="1">
      <c r="A152" s="5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4">
        <f>'[1]20201030百及庫存表'!G153</f>
        <v>44329</v>
      </c>
      <c r="K152">
        <f>'[1]20201030百及庫存表'!K153</f>
        <v>192</v>
      </c>
      <c r="M152" s="8">
        <v>0</v>
      </c>
      <c r="N152" s="8">
        <f>ROUND(M152/30,0)</f>
        <v>0</v>
      </c>
      <c r="O152">
        <v>140</v>
      </c>
      <c r="P152">
        <f>ROUND(O152/30,0)</f>
        <v>5</v>
      </c>
      <c r="Q152">
        <f>ROUND(G152/P152,0)</f>
        <v>24</v>
      </c>
      <c r="R152">
        <v>25</v>
      </c>
    </row>
    <row r="153" spans="1:18" ht="16.5" customHeight="1">
      <c r="A153" s="6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4">
        <f>'[1]20201030百及庫存表'!G154</f>
        <v>44484</v>
      </c>
      <c r="K153">
        <f>'[1]20201030百及庫存表'!K154</f>
        <v>347</v>
      </c>
      <c r="M153" s="8">
        <v>0</v>
      </c>
      <c r="N153" s="8">
        <f>ROUND(M153/30,0)</f>
        <v>0</v>
      </c>
      <c r="O153">
        <v>140</v>
      </c>
      <c r="P153">
        <f>ROUND(O153/30,0)</f>
        <v>5</v>
      </c>
      <c r="Q153">
        <f>ROUND(G153/P153,0)</f>
        <v>118</v>
      </c>
      <c r="R153">
        <v>25</v>
      </c>
    </row>
    <row r="154" spans="1:18" ht="16.5" customHeight="1">
      <c r="A154" s="5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4">
        <f>'[1]20201030百及庫存表'!G155</f>
        <v>44421</v>
      </c>
      <c r="K154">
        <f>'[1]20201030百及庫存表'!K155</f>
        <v>284</v>
      </c>
      <c r="M154" s="8">
        <v>0</v>
      </c>
      <c r="N154" s="8">
        <f>ROUND(M154/30,0)</f>
        <v>0</v>
      </c>
      <c r="O154">
        <v>136</v>
      </c>
      <c r="P154">
        <f>ROUND(O154/30,0)</f>
        <v>5</v>
      </c>
      <c r="Q154">
        <f>ROUND(G154/P154,0)</f>
        <v>3</v>
      </c>
      <c r="R154">
        <v>25</v>
      </c>
    </row>
    <row r="155" spans="1:18" ht="16.5" customHeight="1">
      <c r="A155" s="6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4">
        <f>'[1]20201030百及庫存表'!G156</f>
        <v>44491</v>
      </c>
      <c r="K155">
        <f>'[1]20201030百及庫存表'!K156</f>
        <v>354</v>
      </c>
      <c r="M155" s="8">
        <v>0</v>
      </c>
      <c r="N155" s="8">
        <f>ROUND(M155/30,0)</f>
        <v>0</v>
      </c>
      <c r="O155">
        <v>136</v>
      </c>
      <c r="P155">
        <f>ROUND(O155/30,0)</f>
        <v>5</v>
      </c>
      <c r="Q155">
        <f>ROUND(G155/P155,0)</f>
        <v>120</v>
      </c>
      <c r="R155">
        <v>25</v>
      </c>
    </row>
    <row r="156" spans="1:18" ht="16.5" customHeight="1">
      <c r="A156" s="5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4">
        <f>'[1]20201030百及庫存表'!G157</f>
        <v>44378</v>
      </c>
      <c r="K156">
        <f>'[1]20201030百及庫存表'!K157</f>
        <v>241</v>
      </c>
      <c r="M156" s="8">
        <v>0</v>
      </c>
      <c r="N156" s="8">
        <f>ROUND(M156/30,0)</f>
        <v>0</v>
      </c>
      <c r="O156">
        <v>59</v>
      </c>
      <c r="P156">
        <f>ROUND(O156/30,0)</f>
        <v>2</v>
      </c>
      <c r="Q156">
        <f>ROUND(G156/P156,0)</f>
        <v>16</v>
      </c>
      <c r="R156">
        <v>25</v>
      </c>
    </row>
    <row r="157" spans="1:18" ht="16.5" customHeight="1">
      <c r="A157" s="6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4">
        <f>'[1]20201030百及庫存表'!G158</f>
        <v>44491</v>
      </c>
      <c r="K157">
        <f>'[1]20201030百及庫存表'!K158</f>
        <v>354</v>
      </c>
      <c r="M157" s="8">
        <v>0</v>
      </c>
      <c r="N157" s="8">
        <f>ROUND(M157/30,0)</f>
        <v>0</v>
      </c>
      <c r="O157">
        <v>59</v>
      </c>
      <c r="P157">
        <f>ROUND(O157/30,0)</f>
        <v>2</v>
      </c>
      <c r="Q157">
        <f>ROUND(G157/P157,0)</f>
        <v>144</v>
      </c>
      <c r="R157">
        <v>25</v>
      </c>
    </row>
    <row r="158" spans="1:18" ht="16.5" customHeight="1">
      <c r="A158" s="5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4">
        <f>'[1]20201030百及庫存表'!G159</f>
        <v>44489</v>
      </c>
      <c r="K158">
        <f>'[1]20201030百及庫存表'!K159</f>
        <v>352</v>
      </c>
      <c r="M158" s="8">
        <v>0</v>
      </c>
      <c r="N158" s="8">
        <f>ROUND(M158/30,0)</f>
        <v>0</v>
      </c>
      <c r="O158">
        <v>355</v>
      </c>
      <c r="P158">
        <f>ROUND(O158/30,0)</f>
        <v>12</v>
      </c>
      <c r="Q158">
        <f>ROUND(G158/P158,0)</f>
        <v>11</v>
      </c>
      <c r="R158">
        <v>25</v>
      </c>
    </row>
    <row r="159" spans="1:18" ht="16.5" customHeight="1">
      <c r="A159" s="5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4">
        <f>'[1]20201030百及庫存表'!G160</f>
        <v>44312</v>
      </c>
      <c r="K159">
        <f>'[1]20201030百及庫存表'!K160</f>
        <v>175</v>
      </c>
      <c r="M159" s="8">
        <v>0</v>
      </c>
      <c r="N159" s="8">
        <f>ROUND(M159/30,0)</f>
        <v>0</v>
      </c>
      <c r="P159">
        <f>ROUND(O159/30,0)</f>
        <v>0</v>
      </c>
      <c r="Q159">
        <v>0</v>
      </c>
      <c r="R159">
        <v>25</v>
      </c>
    </row>
    <row r="160" spans="1:18" ht="16.5" customHeight="1">
      <c r="A160" s="5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4">
        <f>'[1]20201030百及庫存表'!G161</f>
        <v>44424</v>
      </c>
      <c r="K160">
        <f>'[1]20201030百及庫存表'!K161</f>
        <v>287</v>
      </c>
      <c r="M160" s="8">
        <v>0</v>
      </c>
      <c r="N160" s="8">
        <f>ROUND(M160/30,0)</f>
        <v>0</v>
      </c>
      <c r="O160">
        <v>257</v>
      </c>
      <c r="P160">
        <f>ROUND(O160/30,0)</f>
        <v>9</v>
      </c>
      <c r="Q160">
        <f>ROUND(G160/P160,0)</f>
        <v>2</v>
      </c>
      <c r="R160">
        <v>25</v>
      </c>
    </row>
    <row r="161" spans="1:18" ht="16.5" customHeight="1">
      <c r="A161" s="6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4">
        <f>'[1]20201030百及庫存表'!G162</f>
        <v>44424</v>
      </c>
      <c r="K161">
        <f>'[1]20201030百及庫存表'!K162</f>
        <v>287</v>
      </c>
      <c r="M161" s="8">
        <v>0</v>
      </c>
      <c r="N161" s="8">
        <f>ROUND(M161/30,0)</f>
        <v>0</v>
      </c>
      <c r="O161">
        <v>99</v>
      </c>
      <c r="P161">
        <f>ROUND(O161/30,0)</f>
        <v>3</v>
      </c>
      <c r="Q161">
        <f>ROUND(G161/P161,0)</f>
        <v>48</v>
      </c>
      <c r="R161">
        <v>25</v>
      </c>
    </row>
    <row r="162" spans="1:18" ht="16.5" customHeight="1">
      <c r="A162" s="6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4">
        <f>'[1]20201030百及庫存表'!G163</f>
        <v>44455</v>
      </c>
      <c r="K162">
        <f>'[1]20201030百及庫存表'!K163</f>
        <v>318</v>
      </c>
      <c r="L162" s="8">
        <v>80000</v>
      </c>
      <c r="M162" s="8">
        <v>343</v>
      </c>
      <c r="N162" s="8">
        <f>ROUND(M162/30,0)</f>
        <v>11</v>
      </c>
      <c r="O162">
        <v>7002</v>
      </c>
      <c r="P162">
        <f>ROUND(O162/30,0)</f>
        <v>233</v>
      </c>
      <c r="Q162">
        <f>ROUND(G162/P162,0)</f>
        <v>47</v>
      </c>
    </row>
    <row r="163" spans="1:18" ht="16.5" customHeight="1">
      <c r="A163" s="5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4">
        <f>'[1]20201030百及庫存表'!G164</f>
        <v>44455</v>
      </c>
      <c r="K163">
        <f>'[1]20201030百及庫存表'!K164</f>
        <v>318</v>
      </c>
      <c r="M163" s="8">
        <v>0</v>
      </c>
      <c r="N163" s="8">
        <f>ROUND(M163/30,0)</f>
        <v>0</v>
      </c>
      <c r="P163">
        <f>ROUND(O163/30,0)</f>
        <v>0</v>
      </c>
      <c r="Q163">
        <v>0</v>
      </c>
      <c r="R163">
        <v>25</v>
      </c>
    </row>
    <row r="164" spans="1:18" ht="16.5" customHeight="1">
      <c r="A164" s="6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4">
        <f>'[1]20201030百及庫存表'!G165</f>
        <v>44884</v>
      </c>
      <c r="K164">
        <f>'[1]20201030百及庫存表'!K165</f>
        <v>747</v>
      </c>
      <c r="L164" s="8">
        <v>4800</v>
      </c>
      <c r="M164" s="8">
        <v>1655</v>
      </c>
      <c r="N164" s="8">
        <f>ROUND(M164/30,0)</f>
        <v>55</v>
      </c>
      <c r="O164">
        <v>87</v>
      </c>
      <c r="P164">
        <f>ROUND(O164/30,0)</f>
        <v>3</v>
      </c>
      <c r="Q164">
        <f>ROUND(G164/P164,0)</f>
        <v>652</v>
      </c>
      <c r="R164">
        <v>30</v>
      </c>
    </row>
    <row r="165" spans="1:18" ht="16.5" customHeight="1">
      <c r="A165" s="6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4">
        <f>'[1]20201030百及庫存表'!G166</f>
        <v>44905</v>
      </c>
      <c r="K165">
        <f>'[1]20201030百及庫存表'!K166</f>
        <v>768</v>
      </c>
      <c r="L165" s="8">
        <v>4800</v>
      </c>
      <c r="M165" s="8">
        <v>1600</v>
      </c>
      <c r="N165" s="8">
        <f>ROUND(M165/30,0)</f>
        <v>53</v>
      </c>
      <c r="O165">
        <v>90</v>
      </c>
      <c r="P165">
        <f>ROUND(O165/30,0)</f>
        <v>3</v>
      </c>
      <c r="Q165">
        <f>ROUND(G165/P165,0)</f>
        <v>400</v>
      </c>
      <c r="R165">
        <v>30</v>
      </c>
    </row>
    <row r="166" spans="1:18" ht="16.5" customHeight="1">
      <c r="A166" s="5" t="s">
        <v>19</v>
      </c>
      <c r="D166">
        <f>'[1]20201030百及庫存表'!A167</f>
        <v>70206023</v>
      </c>
      <c r="E166" t="str">
        <f>'[1]20201030百及庫存表'!B167</f>
        <v>禮袋*3 – 有機園(紅色大)</v>
      </c>
      <c r="F166" t="str">
        <f>'[1]20201030百及庫存表'!C167</f>
        <v>100組/箱</v>
      </c>
      <c r="G166">
        <f>'[1]20201030百及庫存表'!D167</f>
        <v>24</v>
      </c>
      <c r="J166" s="4">
        <f>'[1]20201030百及庫存表'!G167</f>
        <v>47848</v>
      </c>
      <c r="K166">
        <f>'[1]20201030百及庫存表'!K167</f>
        <v>3711</v>
      </c>
      <c r="M166" s="8">
        <v>0</v>
      </c>
      <c r="N166" s="8">
        <f>ROUND(M166/30,0)</f>
        <v>0</v>
      </c>
      <c r="P166">
        <f>ROUND(O166/30,0)</f>
        <v>0</v>
      </c>
      <c r="Q166">
        <v>0</v>
      </c>
    </row>
    <row r="167" spans="1:18" ht="16.5" customHeight="1">
      <c r="A167" s="5" t="s">
        <v>19</v>
      </c>
      <c r="D167">
        <f>'[1]20201030百及庫存表'!A168</f>
        <v>70206023</v>
      </c>
      <c r="E167" t="str">
        <f>'[1]20201030百及庫存表'!B168</f>
        <v>禮袋*3 – 有機園(紅色大)</v>
      </c>
      <c r="F167" t="str">
        <f>'[1]20201030百及庫存表'!C168</f>
        <v>100組/箱</v>
      </c>
      <c r="G167">
        <f>'[1]20201030百及庫存表'!D168</f>
        <v>67</v>
      </c>
      <c r="J167" s="4">
        <f>'[1]20201030百及庫存表'!G168</f>
        <v>72737</v>
      </c>
      <c r="K167">
        <f>'[1]20201030百及庫存表'!K168</f>
        <v>28600</v>
      </c>
      <c r="M167" s="8">
        <v>0</v>
      </c>
      <c r="N167" s="8">
        <f>ROUND(M167/30,0)</f>
        <v>0</v>
      </c>
      <c r="P167">
        <f>ROUND(O167/30,0)</f>
        <v>0</v>
      </c>
      <c r="Q167">
        <v>0</v>
      </c>
    </row>
    <row r="168" spans="1:18" ht="16.5" customHeight="1">
      <c r="A168" s="5" t="s">
        <v>19</v>
      </c>
      <c r="D168">
        <f>'[1]20201030百及庫存表'!A169</f>
        <v>70206024</v>
      </c>
      <c r="E168" t="str">
        <f>'[1]20201030百及庫存表'!B169</f>
        <v>禮袋*3 – 有機園(紅色小)</v>
      </c>
      <c r="F168" t="str">
        <f>'[1]20201030百及庫存表'!C169</f>
        <v>100組/箱</v>
      </c>
      <c r="G168">
        <f>'[1]20201030百及庫存表'!D169</f>
        <v>97</v>
      </c>
      <c r="J168" s="4">
        <f>'[1]20201030百及庫存表'!G169</f>
        <v>72737</v>
      </c>
      <c r="K168">
        <f>'[1]20201030百及庫存表'!K169</f>
        <v>28600</v>
      </c>
      <c r="M168" s="8">
        <v>0</v>
      </c>
      <c r="N168" s="8">
        <f>ROUND(M168/30,0)</f>
        <v>0</v>
      </c>
      <c r="P168">
        <f>ROUND(O168/30,0)</f>
        <v>0</v>
      </c>
      <c r="Q168">
        <v>0</v>
      </c>
    </row>
    <row r="169" spans="1:18" ht="16.5" customHeight="1">
      <c r="A169" s="5" t="s">
        <v>19</v>
      </c>
      <c r="D169">
        <f>'[1]20201030百及庫存表'!A170</f>
        <v>70303719</v>
      </c>
      <c r="E169" t="str">
        <f>'[1]20201030百及庫存表'!B170</f>
        <v>貼紙-安心好物市集外箱貼紙</v>
      </c>
      <c r="F169" t="str">
        <f>'[1]20201030百及庫存表'!C170</f>
        <v>200張/束</v>
      </c>
      <c r="G169">
        <f>'[1]20201030百及庫存表'!D170</f>
        <v>121</v>
      </c>
      <c r="J169" s="4">
        <f>'[1]20201030百及庫存表'!G170</f>
        <v>44377</v>
      </c>
      <c r="K169">
        <f>'[1]20201030百及庫存表'!K170</f>
        <v>240</v>
      </c>
      <c r="M169" s="8">
        <v>0</v>
      </c>
      <c r="N169" s="8">
        <f>ROUND(M169/30,0)</f>
        <v>0</v>
      </c>
      <c r="P169">
        <f>ROUND(O169/30,0)</f>
        <v>0</v>
      </c>
      <c r="Q169"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2020-11-23T06:13:18Z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